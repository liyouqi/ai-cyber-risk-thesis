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BOC-FPS02\HOMEDIR\dli\Desktop\"/>
    </mc:Choice>
  </mc:AlternateContent>
  <bookViews>
    <workbookView xWindow="-105" yWindow="-105" windowWidth="19425" windowHeight="11505"/>
  </bookViews>
  <sheets>
    <sheet name="申请表Application form" sheetId="1" r:id="rId1"/>
    <sheet name="技术控制清单IT Control CheckList" sheetId="5" r:id="rId2"/>
    <sheet name="风险评估Risk Assessment" sheetId="2" r:id="rId3"/>
    <sheet name="审批Approval Form" sheetId="3" r:id="rId4"/>
    <sheet name="AI工具台账AI Inventory" sheetId="4" r:id="rId5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3" l="1"/>
  <c r="F11" i="3" s="1"/>
  <c r="F13" i="2"/>
  <c r="F12" i="2"/>
  <c r="F11" i="2"/>
  <c r="F10" i="2"/>
  <c r="F9" i="2"/>
  <c r="F8" i="2"/>
  <c r="F7" i="2"/>
  <c r="F6" i="2"/>
  <c r="F5" i="2"/>
  <c r="C17" i="2" s="1"/>
  <c r="C18" i="2" s="1"/>
  <c r="C19" i="2" s="1"/>
  <c r="B11" i="3" s="1"/>
</calcChain>
</file>

<file path=xl/sharedStrings.xml><?xml version="1.0" encoding="utf-8"?>
<sst xmlns="http://schemas.openxmlformats.org/spreadsheetml/2006/main" count="369" uniqueCount="306">
  <si>
    <t>AI 工具准入申请表 / AI Tool Onboarding Form</t>
  </si>
  <si>
    <t>适用于新引入、试用、采购、续约或重大变更的 AI 工具。黄色单元格由申请人填写。 / For new, pilot, purchased, renewed or materially changed AI tools. Complete yellow cells.</t>
  </si>
  <si>
    <t>1. 基本信息 / Basic Information</t>
  </si>
  <si>
    <t>工具名称 / Tool name</t>
  </si>
  <si>
    <t>供应商 / Vendor</t>
  </si>
  <si>
    <t>申请部门 / Department</t>
  </si>
  <si>
    <t>申请人 / Applicant</t>
  </si>
  <si>
    <t>申请类型 / Request type</t>
  </si>
  <si>
    <t>计划上线日期 / Go-live date</t>
  </si>
  <si>
    <t>业务负责人 / Business owner</t>
  </si>
  <si>
    <t>工具负责人 / Tool owner</t>
  </si>
  <si>
    <t>部署模式 / Deployment</t>
  </si>
  <si>
    <t>预计用户 / Users</t>
  </si>
  <si>
    <t>使用实体/国家 / Entity/Country</t>
  </si>
  <si>
    <t>成本/合同期 / Cost/Term</t>
  </si>
  <si>
    <t>主要用途 / Main purpose</t>
  </si>
  <si>
    <t>预期效益 / Expected benefit</t>
  </si>
  <si>
    <t>2. 数据与使用 / Data and Use</t>
  </si>
  <si>
    <t>数据类型 / Data type</t>
  </si>
  <si>
    <t>含个人数据 / Personal data</t>
  </si>
  <si>
    <t>客户/机密数据 / Client/Confidential</t>
  </si>
  <si>
    <t>最高分类 / Classification</t>
  </si>
  <si>
    <t>存储地点 / Storage location</t>
  </si>
  <si>
    <t>跨境传输 / Cross-border</t>
  </si>
  <si>
    <t>用于训练 / Model training</t>
  </si>
  <si>
    <t>可关闭训练 / Opt-out</t>
  </si>
  <si>
    <t>系统集成 / Integration</t>
  </si>
  <si>
    <t>API/插件权限 / Permissions</t>
  </si>
  <si>
    <t>人工复核 / Human review</t>
  </si>
  <si>
    <t>输出限制 / Output limits</t>
  </si>
  <si>
    <t>附件/证据 / Evidence</t>
  </si>
  <si>
    <t>业务场景说明（用户、输入、输出、决策影响及禁止用途） / Use case description (users, inputs, outputs, decision impact and prohibited uses):</t>
  </si>
  <si>
    <t>AI 技术控制清单 / AI Technical Control Checklist</t>
  </si>
  <si>
    <t>在上线前由工具负责人、IT Security及相关技术团队完成。黄色单元格为待填写项；条款适用性取决于机构角色、用途及风险分类。 / Complete before go-live. Yellow cells require input; applicability depends on role, intended purpose and risk classification.</t>
  </si>
  <si>
    <t>ID</t>
  </si>
  <si>
    <t>控制领域 / Domain</t>
  </si>
  <si>
    <t>技术检查点 / Technical checkpoint</t>
  </si>
  <si>
    <t>最低控制及证据 / Minimum control &amp; evidence</t>
  </si>
  <si>
    <t>结果 / Result</t>
  </si>
  <si>
    <t>责任人 / Owner</t>
  </si>
  <si>
    <t>适用性 / Applicability</t>
  </si>
  <si>
    <t>EU AI Act 映射 / Mapping</t>
  </si>
  <si>
    <t>TC01</t>
  </si>
  <si>
    <t>透明度 / Transparency</t>
  </si>
  <si>
    <t>平台是否明确告知自然人其正在与AI系统交互？ / Is the person clearly informed that they are interacting with AI?</t>
  </si>
  <si>
    <t>界面固定提示、首次交互提示及截图 / Persistent or first-interaction notice and screenshot</t>
  </si>
  <si>
    <t>待确认 / TBD</t>
  </si>
  <si>
    <t>直接交互AI / Direct interaction</t>
  </si>
  <si>
    <t>Art. 50(1),(5)</t>
  </si>
  <si>
    <t>TC02</t>
  </si>
  <si>
    <t>生成或操纵的文本、图片、音频和视频是否带机器可读标记？ / Are generated or manipulated outputs machine-readably marked?</t>
  </si>
  <si>
    <t>标记标准、样例文件、检测方法、导出后保留测试 / Standard, sample, detection method and export-retention test</t>
  </si>
  <si>
    <t>生成式AI Provider / Generative AI provider</t>
  </si>
  <si>
    <t>Art. 50(2),(5)</t>
  </si>
  <si>
    <t>TC03</t>
  </si>
  <si>
    <t>情绪识别或生物特征分类是否提供事前告知？ / Is prior notice provided for emotion recognition or biometric categorisation?</t>
  </si>
  <si>
    <t>告知界面、隐私通知、启用条件 / Notice screen, privacy notice and activation criteria</t>
  </si>
  <si>
    <t>如使用该功能 / If used</t>
  </si>
  <si>
    <t>Art. 50(3),(5); Art. 5(1)(f)</t>
  </si>
  <si>
    <t>TC04</t>
  </si>
  <si>
    <t>Deepfake及相关公共利益AI文本是否支持清晰披露？ / Can deepfakes and relevant public-interest AI text be clearly disclosed?</t>
  </si>
  <si>
    <t>可见标签、发布流程及人工编辑责任记录 / Visible label, publication workflow and editorial accountability</t>
  </si>
  <si>
    <t>如对外发布 / External publication</t>
  </si>
  <si>
    <t>Art. 50(4),(5)</t>
  </si>
  <si>
    <t>TC05</t>
  </si>
  <si>
    <t>身份访问 / IAM</t>
  </si>
  <si>
    <t>是否实施SSO/MFA、最小权限及定期复核？ / Are SSO/MFA, least privilege and access review implemented?</t>
  </si>
  <si>
    <t>权限矩阵、MFA配置、复核记录 / Access matrix, MFA configuration and review record</t>
  </si>
  <si>
    <t>全部系统 / All systems</t>
  </si>
  <si>
    <t>Art. 9; Art. 15; Art. 17</t>
  </si>
  <si>
    <t>TC06</t>
  </si>
  <si>
    <t>特权管理 / PAM</t>
  </si>
  <si>
    <t>管理员、模型及安全配置权限是否隔离并受控？ / Are admin, model and security configuration privileges segregated and controlled?</t>
  </si>
  <si>
    <t>PAM、审批、双人复核及管理员日志 / PAM, approval, four-eyes check and admin logs</t>
  </si>
  <si>
    <t>TC07</t>
  </si>
  <si>
    <t>加密 / Encryption</t>
  </si>
  <si>
    <t>传输中和静态数据是否加密，密钥是否独立管理？ / Are data encrypted in transit and at rest with managed keys?</t>
  </si>
  <si>
    <t>TLS配置、存储加密及KMS证据 / TLS, storage encryption and KMS evidence</t>
  </si>
  <si>
    <t>涉及受保护数据 / Protected data</t>
  </si>
  <si>
    <t>Art. 9; Art. 15</t>
  </si>
  <si>
    <t>TC08</t>
  </si>
  <si>
    <t>数据控制 / Data</t>
  </si>
  <si>
    <t>是否限制敏感输入，并实施数据分类、最小化和脱敏？ / Are sensitive inputs restricted with classification, minimisation and masking?</t>
  </si>
  <si>
    <t>DLP规则、输入提示、脱敏测试及例外审批 / DLP rules, user warning, masking test and exception approval</t>
  </si>
  <si>
    <t>涉及个人或机密数据 / Personal or confidential data</t>
  </si>
  <si>
    <t>Art. 10; Art. 26(4); Art. 27</t>
  </si>
  <si>
    <t>TC09</t>
  </si>
  <si>
    <t>数据隔离 / Isolation</t>
  </si>
  <si>
    <t>不同机构、租户、环境及知识库是否逻辑或物理隔离？ / Are entities, tenants, environments and knowledge bases isolated?</t>
  </si>
  <si>
    <t>架构图、租户测试及越权测试 / Architecture, tenant-isolation and access-bypass tests</t>
  </si>
  <si>
    <t>多实体/多租户 / Multi-entity or tenant</t>
  </si>
  <si>
    <t>TC10</t>
  </si>
  <si>
    <t>数据生命周期 / Lifecycle</t>
  </si>
  <si>
    <t>提示词、文件、输出、向量数据及日志的保留和删除是否可配置？ / Are retention and deletion configurable for prompts, files, outputs, vectors and logs?</t>
  </si>
  <si>
    <t>保留配置、删除测试、备份同步删除证明 / Retention settings, deletion test and backup treatment</t>
  </si>
  <si>
    <t>Art. 10; Art. 12; Art. 13; Art. 26(6)</t>
  </si>
  <si>
    <t>TC11</t>
  </si>
  <si>
    <t>模型训练 / Training</t>
  </si>
  <si>
    <t>机构数据是否被禁止用于训练，或可关闭并得到合同及技术保障？ / Is institutional data excluded from training or subject to enforceable opt-out?</t>
  </si>
  <si>
    <t>合同条款、平台设置、API参数及供应商证明 / Contract, settings, API parameters and vendor evidence</t>
  </si>
  <si>
    <t>第三方/云模型 / Third-party or cloud model</t>
  </si>
  <si>
    <t>Art. 10; Art. 13; Art. 25(4)</t>
  </si>
  <si>
    <t>TC12</t>
  </si>
  <si>
    <t>接口安全 / API</t>
  </si>
  <si>
    <t>API、插件、Agent工具及外部连接是否白名单控制并采用最小权限？ / Are APIs, plugins, agent tools and outbound connections allowlisted and least-privileged?</t>
  </si>
  <si>
    <t>接口清单、服务账号、权限范围及网络策略 / Interface inventory, service accounts, scopes and network policy</t>
  </si>
  <si>
    <t>有集成或Agent / Integration or agent</t>
  </si>
  <si>
    <t>TC13</t>
  </si>
  <si>
    <t>输入安全 / Input</t>
  </si>
  <si>
    <t>是否防御提示词注入、恶意文件、越权检索及间接指令？ / Are prompt injection, malicious files, retrieval bypass and indirect instructions mitigated?</t>
  </si>
  <si>
    <t>攻击测试、输入扫描、检索权限继承及阻断记录 / Red-team test, scanning, inherited ACL and blocking evidence</t>
  </si>
  <si>
    <t>生成式AI/RAG/Agent</t>
  </si>
  <si>
    <t>TC14</t>
  </si>
  <si>
    <t>输出安全 / Output</t>
  </si>
  <si>
    <t>是否实施敏感信息、恶意代码、不当内容和禁止用途输出控制？ / Are sensitive data, malicious code, harmful content and prohibited-use outputs controlled?</t>
  </si>
  <si>
    <t>DLP、内容过滤、安全执行隔离及测试报告 / DLP, filters, sandboxing and test report</t>
  </si>
  <si>
    <t>生成式AI / Generative AI</t>
  </si>
  <si>
    <t>Art. 5; Art. 9; Art. 15</t>
  </si>
  <si>
    <t>TC15</t>
  </si>
  <si>
    <t>日志追溯 / Logging</t>
  </si>
  <si>
    <t>是否记录用户、时间、输入输出、模型版本、工具调用及管理员操作？ / Are user, time, I/O, model version, tool calls and admin actions logged?</t>
  </si>
  <si>
    <t>日志字段、完整性保护、访问限制及留存策略 / Log fields, integrity, access restrictions and retention</t>
  </si>
  <si>
    <t>全部；高风险要求更高 / All; stricter for high-risk</t>
  </si>
  <si>
    <t>Art. 12; Art. 19; Art. 26(6)</t>
  </si>
  <si>
    <t>TC16</t>
  </si>
  <si>
    <t>人工监督 / Oversight</t>
  </si>
  <si>
    <t>是否具备人工复核、拒绝输出、停止、覆盖及升级机制？ / Are human review, rejection, stop, override and escalation available?</t>
  </si>
  <si>
    <t>工作流、停止按钮、职责矩阵及演练记录 / Workflow, stop control, RACI and exercise evidence</t>
  </si>
  <si>
    <t>影响决策的AI / Decision-impacting AI</t>
  </si>
  <si>
    <t>Art. 14; Art. 26(2),(5)</t>
  </si>
  <si>
    <t>TC17</t>
  </si>
  <si>
    <t>准确可靠 / Accuracy</t>
  </si>
  <si>
    <t>是否对准确性、幻觉、可重复性和适用边界进行测试？ / Are accuracy, hallucination, repeatability and limits tested?</t>
  </si>
  <si>
    <t>基准数据、验收阈值、失败案例及人工复核规则 / Benchmark, thresholds, failure cases and review rule</t>
  </si>
  <si>
    <t>Art. 9; Art. 13; Art. 15; Art. 26(5)</t>
  </si>
  <si>
    <t>TC18</t>
  </si>
  <si>
    <t>偏差公平 / Bias</t>
  </si>
  <si>
    <t>是否测试偏差、歧视及不同群体的性能差异？ / Are bias, discrimination and performance differences across groups tested?</t>
  </si>
  <si>
    <t>数据代表性、分组测试、阈值及整改记录 / Representativeness, subgroup testing, thresholds and remediation</t>
  </si>
  <si>
    <t>涉及自然人/高风险 / Individuals or high-risk</t>
  </si>
  <si>
    <t>Art. 5; Art. 10; Art. 15; Art. 27</t>
  </si>
  <si>
    <t>TC19</t>
  </si>
  <si>
    <t>韧性连续性 / Resilience</t>
  </si>
  <si>
    <t>是否具备容量、冗余、故障安全、备份恢复及人工替代方案？ / Are capacity, redundancy, fail-safe, recovery and manual fallback provided?</t>
  </si>
  <si>
    <t>架构、BCP/DR测试、RTO/RPO及降级方案 / Architecture, BCP/DR test, RTO/RPO and fallback</t>
  </si>
  <si>
    <t>关键业务 / Critical use</t>
  </si>
  <si>
    <t>TC20</t>
  </si>
  <si>
    <t>漏洞事件 / Security</t>
  </si>
  <si>
    <t>是否实施漏洞修复、补丁、事件检测、响应及严重事件报告流程？ / Are vulnerability, patching, detection, response and serious-incident processes implemented?</t>
  </si>
  <si>
    <t>扫描报告、补丁SLA、告警、演练及报告流程 / Scan, patch SLA, alerts, exercise and reporting process</t>
  </si>
  <si>
    <t>全部；高风险报告适用 / All; reporting for high-risk</t>
  </si>
  <si>
    <t>Art. 15; Art. 17; Art. 20; Art. 73</t>
  </si>
  <si>
    <t>TC21</t>
  </si>
  <si>
    <t>模型变更 / Change</t>
  </si>
  <si>
    <t>模型、提示词、知识库、插件及安全配置变更是否经过测试和审批？ / Are model, prompt, knowledge base, plugin and security changes tested and approved?</t>
  </si>
  <si>
    <t>版本清单、变更单、回归测试和回退计划 / Version inventory, change record, regression test and rollback</t>
  </si>
  <si>
    <t>Art. 9; Art. 15; Art. 17; Art. 72</t>
  </si>
  <si>
    <t>TC22</t>
  </si>
  <si>
    <t>持续监控 / Monitoring</t>
  </si>
  <si>
    <t>是否监控性能漂移、异常使用、控制失效和新风险？ / Are drift, misuse, control failure and emerging risks monitored?</t>
  </si>
  <si>
    <t>KPI/KRI、告警阈值、复审记录及整改跟踪 / KPI/KRI, alerts, review and remediation tracking</t>
  </si>
  <si>
    <t>Art. 9; Art. 20; Art. 26(5); Art. 72</t>
  </si>
  <si>
    <t>TC23</t>
  </si>
  <si>
    <t>供应链 / Supply chain</t>
  </si>
  <si>
    <t>是否维护模型、组件、数据源及分包商清单并明确技术责任？ / Is an inventory of models, components, data sources and subcontractors maintained?</t>
  </si>
  <si>
    <t>组件清单、版本/SBOM、协议及供应商证据 / Component inventory, versions/SBOM, agreements and vendor evidence</t>
  </si>
  <si>
    <t>第三方组件 / Third-party components</t>
  </si>
  <si>
    <t>Art. 13; Art. 25(4)</t>
  </si>
  <si>
    <t>TC24</t>
  </si>
  <si>
    <t>退出可移植 / Exit</t>
  </si>
  <si>
    <t>是否能够导出必要数据、撤销访问、删除数据并安全停用？ / Can data be exported, access revoked, data deleted and the system safely retired?</t>
  </si>
  <si>
    <t>退出测试、删除证明、接口撤销及替代方案 / Exit test, deletion evidence, revoked interfaces and replacement plan</t>
  </si>
  <si>
    <t>Art. 9; Art. 17; Art. 26(5); Art. 72</t>
  </si>
  <si>
    <t>TC25</t>
  </si>
  <si>
    <t>技术文档 / Documentation</t>
  </si>
  <si>
    <t>是否保留架构、用途、版本、限制、测试、控制和使用说明？ / Are architecture, purpose, versions, limits, tests, controls and instructions documented?</t>
  </si>
  <si>
    <t>技术文档、使用说明、测试包及审批记录 / Technical file, instructions, test pack and approvals</t>
  </si>
  <si>
    <t>Provider；高风险系统 / Provider; high-risk</t>
  </si>
  <si>
    <t>Art. 11; Art. 13; Art. 17</t>
  </si>
  <si>
    <t>说明 / Note：本清单为准入阶段的技术控制基线，并不意味着所有条款均适用于所有工具。应结合Provider/Deployer角色、禁止性实践及高风险分类进行法律确认。 / This checklist is a technical onboarding baseline; legal applicability depends on role, prohibited practices and high-risk classification.</t>
  </si>
  <si>
    <t>Official source / 正式文本：https://eur-lex.europa.eu/eli/reg/2024/1689/oj</t>
  </si>
  <si>
    <t>AI 工具风险评估 / AI Tool Risk Assessment</t>
  </si>
  <si>
    <t>风险领域 / Risk area</t>
  </si>
  <si>
    <t>评估问题 / Assessment question</t>
  </si>
  <si>
    <t>评分 / Score</t>
  </si>
  <si>
    <t>权重 / Weight</t>
  </si>
  <si>
    <t>加权分 / Weighted</t>
  </si>
  <si>
    <t>控制措施/说明 / Controls</t>
  </si>
  <si>
    <t>触发条件 / Trigger</t>
  </si>
  <si>
    <t>说明/证据 / Evidence</t>
  </si>
  <si>
    <t>复核职能 / Reviewer</t>
  </si>
  <si>
    <t>F1</t>
  </si>
  <si>
    <t>输入严格机密、凭证或未经批准的客户数据 / Restricted, credential or unapproved client data</t>
  </si>
  <si>
    <t>Art. 10; Art. 15; Art. 26(4)
GDPR/DORA另行适用</t>
  </si>
  <si>
    <t>F2</t>
  </si>
  <si>
    <t>供应商可使用机构数据训练且无法关闭或合同未限制 / Vendor training cannot be disabled or contractually restricted</t>
  </si>
  <si>
    <t>Art. 10; Art. 13; Art. 25(4); Art. 26(1),(3)</t>
  </si>
  <si>
    <t>F3</t>
  </si>
  <si>
    <t>对个人具有重大影响的完全自动化决策 / Fully automated decision with material individual impact</t>
  </si>
  <si>
    <t>Art. 5; Art. 6 &amp; Annex III; Art. 14; Art. 26–27
GDPR Art. 22另行适用</t>
  </si>
  <si>
    <t>F4</t>
  </si>
  <si>
    <t>缺少人工复核、日志、停止、删除或退出能力 / No human review, logging, stop, deletion or exit capability</t>
  </si>
  <si>
    <t>Art. 12; Art. 14–15; Art. 20; Art. 26(2),(5)–(6); Art. 72–73</t>
  </si>
  <si>
    <t>F5</t>
  </si>
  <si>
    <t>直接与自然人交互或生成内容，但未落实AI告知、机器可读标记或必要披露 / No AI interaction notice, machine-readable marking or required disclosure</t>
  </si>
  <si>
    <t>Art. 50(1)–(5)</t>
  </si>
  <si>
    <t>2. 结论与审批 / Decision and Approval</t>
  </si>
  <si>
    <t>风险等级 / Risk level</t>
  </si>
  <si>
    <t>建议路径 / Route</t>
  </si>
  <si>
    <t>最终决定 / Final decision</t>
  </si>
  <si>
    <t>审批条件/限制 / Conditions</t>
  </si>
  <si>
    <t>申请部门负责人 / Business owner</t>
  </si>
  <si>
    <t>意见 / Opinion</t>
  </si>
  <si>
    <t>日期 / Date</t>
  </si>
  <si>
    <t>决定 / Decision</t>
  </si>
  <si>
    <t>AI Governance / IT Security</t>
  </si>
  <si>
    <t>最终审批人 / Final approver</t>
  </si>
  <si>
    <t>3. 上线后跟踪 / Post-implementation Monitoring</t>
  </si>
  <si>
    <t>台账编号 / Inventory ID</t>
  </si>
  <si>
    <t>上线日期 / Go-live</t>
  </si>
  <si>
    <t>下次复审 / Next review</t>
  </si>
  <si>
    <t>状态 / Status</t>
  </si>
  <si>
    <t>控制负责人 / Control owner</t>
  </si>
  <si>
    <t>完成期限 / Due date</t>
  </si>
  <si>
    <t>监控频率 / Frequency</t>
  </si>
  <si>
    <t>事件联系人 / Contact</t>
  </si>
  <si>
    <t>复审/停用条件 / Review or stop criteria</t>
  </si>
  <si>
    <t>退出安排 / Exit plan</t>
  </si>
  <si>
    <t>AI 工具台账 / AI Tool Inventory</t>
  </si>
  <si>
    <t>每个已申请、试点、批准、上线、暂停或停用的 AI 工具登记一行，并按复审日期更新。 / Record one row per requested, piloted, approved, live, suspended or retired AI tool and update by the review date.</t>
  </si>
  <si>
    <t>台账编号
Inventory ID</t>
  </si>
  <si>
    <t>工具名称
Tool Name</t>
  </si>
  <si>
    <t>供应商
Vendor</t>
  </si>
  <si>
    <t>业务用途
Business Use</t>
  </si>
  <si>
    <t>使用部门
Department</t>
  </si>
  <si>
    <t>业务负责人
Business Owner</t>
  </si>
  <si>
    <t>工具负责人
Tool Owner</t>
  </si>
  <si>
    <t>部署模式
Deployment</t>
  </si>
  <si>
    <t>数据分类
Data Classification</t>
  </si>
  <si>
    <t>个人数据
Personal Data</t>
  </si>
  <si>
    <t>风险等级
Risk Level</t>
  </si>
  <si>
    <t>审批状态
Approval Status</t>
  </si>
  <si>
    <t>上线日期
Go-live Date</t>
  </si>
  <si>
    <t>下次复审
Next Review</t>
  </si>
  <si>
    <t>当前状态
Current Status</t>
  </si>
  <si>
    <t>退出安排
Exit Plan</t>
  </si>
  <si>
    <t>备注
Notes</t>
  </si>
  <si>
    <t>AI Act角色
AI Act Role</t>
  </si>
  <si>
    <t>AI Act分类
AI Act Classification</t>
  </si>
  <si>
    <t>第50条适用
Article 50 Applicable</t>
  </si>
  <si>
    <t>技术控制状态
Technical Control Status</t>
  </si>
  <si>
    <t>按剩余风险选择 0–3 分 / Rate residual risk 0–3: 0=不适用或很低/None or Low, 1=较低且控制充分/Moderate-low, 2=较高或需加强/Moderate-high, 3=高风险或信息不足/High or unknown.</t>
  </si>
  <si>
    <t>R1</t>
  </si>
  <si>
    <t>数据与隐私 / Data &amp; Privacy</t>
  </si>
  <si>
    <t>输入、输出、存储或传输是否涉及个人、客户或机密数据，或机构数据可能被用于训练？综合风险有多高？ / How high is the risk from personal, client or confidential data in inputs, outputs, storage or transfers, including possible use for training?</t>
  </si>
  <si>
    <t>Art. 10; Art. 13; Art. 26(4)
GDPR另行适用 / GDPR applies separately</t>
  </si>
  <si>
    <t>R2</t>
  </si>
  <si>
    <t>信息与模型安全 / Security</t>
  </si>
  <si>
    <t>考虑访问控制、加密、日志、API/插件权限，以及提示词注入、越狱和数据泄露防护，该项剩余风险有多高？ / Considering access, encryption, logging, API/plugin permissions, prompt injection, jailbreak and data-leakage controls, how high is the residual risk?</t>
  </si>
  <si>
    <t>Art. 9; Art. 12; Art. 15; Art. 17; Art. 26(5)–(6)</t>
  </si>
  <si>
    <t>R3</t>
  </si>
  <si>
    <t>第三方与供应链 / Third Party</t>
  </si>
  <si>
    <t>考虑供应商、分包商、模型/组件来源、合同、数据使用、删除和退出安排，第三方风险有多高？ / Considering vendors, subcontractors, model/component sources, contracts, data use, deletion and exit, how high is the third-party risk?</t>
  </si>
  <si>
    <t>Art. 13; Art. 16; Art. 25; Art. 26(1),(3)</t>
  </si>
  <si>
    <t>R4</t>
  </si>
  <si>
    <t>模型信息与来源 / Model Information</t>
  </si>
  <si>
    <t>模型名称、版本、提供商、基础/微调方式、训练数据来源与权利、Model/System Card及GPAI分类信息是否充分？信息缺失带来的风险有多高？ / Are model identity, version, provider, base/fine-tuning method, training-data provenance/rights, model/system cards and GPAI classification sufficiently known? How high is the risk from gaps?</t>
  </si>
  <si>
    <t>Art. 11; Art. 13; Art. 51–53（按角色适用 / role-dependent）</t>
  </si>
  <si>
    <t>R5</t>
  </si>
  <si>
    <t>可靠性、公平与解释 / Reliability</t>
  </si>
  <si>
    <t>结合实际场景测试、准确性、幻觉、偏差、公平性、可解释性及验收阈值，不可靠输出可能造成的风险有多高？ / Based on scenario tests, accuracy, hallucination, bias, fairness, explainability and acceptance thresholds, how high is the risk from unreliable outputs?</t>
  </si>
  <si>
    <t>Art. 9–10; Art. 13–15; Art. 27</t>
  </si>
  <si>
    <t>R6</t>
  </si>
  <si>
    <t>用途与影响分类 / Use &amp; Impact</t>
  </si>
  <si>
    <t>该用途是否可能属于禁止实践或高风险系统，或对信贷、招聘、准入及其他个人重大决定产生影响？风险有多高？ / Could the use be prohibited, high-risk, or materially affect credit, recruitment, access or other individual decisions? How high is the risk?</t>
  </si>
  <si>
    <t>Art. 5; Art. 6 &amp; Annex III; Art. 26–27
GDPR Art. 22另行适用</t>
  </si>
  <si>
    <t>R7</t>
  </si>
  <si>
    <t>人工监督与责任 / Human Oversight</t>
  </si>
  <si>
    <t>考虑责任人、人工复核、停止/覆盖、升级和禁止用途机制，监督不足的剩余风险有多高？ / Considering ownership, human review, stop/override, escalation and prohibited-use controls, how high is the residual oversight risk?</t>
  </si>
  <si>
    <t>Art. 13–14; Art. 26(2),(5)</t>
  </si>
  <si>
    <t>R8</t>
  </si>
  <si>
    <t>合规、知识产权与披露 / Compliance</t>
  </si>
  <si>
    <t>考虑监管要求、版权、记录保存、AI交互告知、内容标记及对外披露，合规风险有多高？ / Considering regulation, copyright, recordkeeping, AI-interaction notices, content marking and external disclosure, how high is the compliance risk?</t>
  </si>
  <si>
    <t>Art. 11–12; Art. 50; Art. 53（按角色适用）</t>
  </si>
  <si>
    <t>R9</t>
  </si>
  <si>
    <t>变更、韧性与退出 / Lifecycle</t>
  </si>
  <si>
    <t>考虑模型更新通知、版本锁定、回归测试、漂移监控、回退、BCP/DR及退出安排，生命周期风险有多高？ / Considering update notice, version locking, regression tests, drift monitoring, rollback, BCP/DR and exit, how high is the lifecycle risk?</t>
  </si>
  <si>
    <t>Art. 9; Art. 15; Art. 17; Art. 20; Art. 26(5)–(6); Art. 72–73</t>
  </si>
  <si>
    <t>自动结果 / Automated Result</t>
  </si>
  <si>
    <t>指标 / Metric</t>
  </si>
  <si>
    <t>总体意见/补充控制 / Overall opinion &amp; additional controls</t>
  </si>
  <si>
    <t>说明 / Note</t>
  </si>
  <si>
    <t>加权分 / Weighted score</t>
  </si>
  <si>
    <t>剩余风险评分；信息不足时选3分。 / Score residual risk; select 3 if information is insufficient.</t>
  </si>
  <si>
    <t>标准化总分 / Score (0–100)</t>
  </si>
  <si>
    <t>条款映射需结合角色、用途及分类确认。 / Confirm mapping by role, use and classification.</t>
  </si>
  <si>
    <t>Official text: https://eur-lex.europa.eu/eli/reg/2024/1689/oj</t>
  </si>
  <si>
    <t>CRO / Operation Risk Team</t>
  </si>
  <si>
    <t>基线检查与审批 / Baseline Check and Approval</t>
  </si>
  <si>
    <t>1. 基线检查 / Baseline（任一“是”均需专项复核 / Any Yes requires special review）</t>
  </si>
  <si>
    <t>DPO</t>
  </si>
  <si>
    <t>Legal / DPO</t>
  </si>
  <si>
    <t>AI Governance</t>
  </si>
  <si>
    <t>基线状态 / Baseline</t>
  </si>
  <si>
    <t>CRO</t>
  </si>
  <si>
    <t>CCO / DPO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</si>
</sst>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yyyy\-mm\-dd"/>
  </numFmts>
  <fonts count="16">
    <font>
      <sz val="11"/>
      <name val="Carlito"/>
    </font>
    <font>
      <b/>
      <sz val="16"/>
      <color rgb="FFFFFFFF"/>
      <name val="Aptos"/>
    </font>
    <font>
      <sz val="11"/>
      <color rgb="FF7F6000"/>
      <name val="Aptos"/>
    </font>
    <font>
      <sz val="11"/>
      <name val="Aptos"/>
    </font>
    <font>
      <b/>
      <sz val="11"/>
      <color rgb="FFFFFFFF"/>
      <name val="Aptos"/>
    </font>
    <font>
      <b/>
      <sz val="11"/>
      <color rgb="FF17365D"/>
      <name val="Aptos"/>
    </font>
    <font>
      <b/>
      <sz val="11"/>
      <color rgb="FFFFFFFF"/>
      <name val="Carlito"/>
    </font>
    <font>
      <sz val="11"/>
      <color rgb="FF7F6000"/>
      <name val="Carlito"/>
    </font>
    <font>
      <b/>
      <sz val="11"/>
      <color rgb="FF17365D"/>
      <name val="Carlito"/>
    </font>
    <font>
      <sz val="11"/>
      <color rgb="FF1F4E78"/>
      <name val="Carlito"/>
    </font>
    <font>
      <sz val="10"/>
      <color rgb="FF202020"/>
      <name val="Arial"/>
      <family val="2"/>
    </font>
    <font>
      <sz val="10"/>
      <color rgb="FF2F5D85"/>
      <name val="Arial"/>
      <family val="2"/>
    </font>
    <font>
      <b/>
      <sz val="10"/>
      <color rgb="FFFFFFFF"/>
      <name val="Arial"/>
      <family val="2"/>
    </font>
    <font>
      <b/>
      <sz val="10"/>
      <color rgb="FF17365D"/>
      <name val="Arial"/>
      <family val="2"/>
    </font>
    <font>
      <sz val="10"/>
      <color rgb="FF267326"/>
      <name val="Arial"/>
      <family val="2"/>
    </font>
    <font>
      <sz val="9"/>
      <color rgb="FF2F5D85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F3F6F9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F3F6F9"/>
      </patternFill>
    </fill>
    <fill>
      <patternFill patternType="solid">
        <fgColor rgb="FFEAF2F8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CEAF6"/>
      </patternFill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F2F6FA"/>
      </patternFill>
    </fill>
    <fill>
      <patternFill patternType="solid">
        <fgColor rgb="FFE2F0D9"/>
      </patternFill>
    </fill>
  </fills>
  <borders count="1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FDDEB"/>
      </left>
      <right style="thin">
        <color rgb="FFCFDDEB"/>
      </right>
      <top style="thin">
        <color rgb="FFCFDDEB"/>
      </top>
      <bottom style="thin">
        <color rgb="FFCFDDEB"/>
      </bottom>
      <diagonal/>
    </border>
    <border>
      <left style="thin">
        <color rgb="FF1F4E78"/>
      </left>
      <right style="thin">
        <color rgb="FF1F4E78"/>
      </right>
      <top style="thin">
        <color rgb="FF1F4E78"/>
      </top>
      <bottom style="thin">
        <color rgb="FF1F4E78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3" fillId="0" borderId="0" xfId="0" applyFont="1"/>
    <xf numFmtId="0" fontId="5" fillId="5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3" fillId="3" borderId="8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11" xfId="0" applyFont="1" applyFill="1" applyBorder="1" applyAlignment="1">
      <alignment vertical="center" wrapText="1"/>
    </xf>
    <xf numFmtId="0" fontId="5" fillId="5" borderId="1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3" xfId="0" applyFont="1" applyFill="1" applyBorder="1" applyAlignment="1">
      <alignment vertical="center" wrapText="1"/>
    </xf>
    <xf numFmtId="0" fontId="3" fillId="6" borderId="5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3" fillId="6" borderId="7" xfId="0" applyFont="1" applyFill="1" applyBorder="1" applyAlignment="1">
      <alignment vertical="center" wrapText="1"/>
    </xf>
    <xf numFmtId="0" fontId="3" fillId="6" borderId="8" xfId="0" applyFont="1" applyFill="1" applyBorder="1" applyAlignment="1">
      <alignment vertical="center" wrapText="1"/>
    </xf>
    <xf numFmtId="0" fontId="3" fillId="6" borderId="4" xfId="0" applyFont="1" applyFill="1" applyBorder="1" applyAlignment="1">
      <alignment vertical="center" wrapText="1"/>
    </xf>
    <xf numFmtId="0" fontId="3" fillId="6" borderId="6" xfId="0" applyFont="1" applyFill="1" applyBorder="1" applyAlignment="1">
      <alignment vertical="center" wrapText="1"/>
    </xf>
    <xf numFmtId="0" fontId="3" fillId="6" borderId="9" xfId="0" applyFont="1" applyFill="1" applyBorder="1" applyAlignment="1">
      <alignment vertical="center" wrapText="1"/>
    </xf>
    <xf numFmtId="165" fontId="3" fillId="3" borderId="1" xfId="0" applyNumberFormat="1" applyFont="1" applyFill="1" applyBorder="1" applyAlignment="1">
      <alignment vertical="center" wrapText="1"/>
    </xf>
    <xf numFmtId="165" fontId="5" fillId="5" borderId="1" xfId="0" applyNumberFormat="1" applyFont="1" applyFill="1" applyBorder="1" applyAlignment="1">
      <alignment vertical="center" wrapText="1"/>
    </xf>
    <xf numFmtId="165" fontId="3" fillId="6" borderId="3" xfId="0" applyNumberFormat="1" applyFont="1" applyFill="1" applyBorder="1" applyAlignment="1">
      <alignment vertical="center" wrapText="1"/>
    </xf>
    <xf numFmtId="165" fontId="3" fillId="6" borderId="0" xfId="0" applyNumberFormat="1" applyFont="1" applyFill="1" applyAlignment="1">
      <alignment vertical="center" wrapText="1"/>
    </xf>
    <xf numFmtId="165" fontId="3" fillId="6" borderId="8" xfId="0" applyNumberFormat="1" applyFont="1" applyFill="1" applyBorder="1" applyAlignment="1">
      <alignment vertical="center" wrapText="1"/>
    </xf>
    <xf numFmtId="0" fontId="5" fillId="10" borderId="1" xfId="0" applyFont="1" applyFill="1" applyBorder="1" applyAlignment="1">
      <alignment vertical="center" wrapText="1"/>
    </xf>
    <xf numFmtId="0" fontId="8" fillId="10" borderId="1" xfId="0" applyFont="1" applyFill="1" applyBorder="1" applyAlignment="1">
      <alignment vertical="center" wrapText="1"/>
    </xf>
    <xf numFmtId="0" fontId="9" fillId="11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0" fillId="12" borderId="0" xfId="0" applyFill="1"/>
    <xf numFmtId="0" fontId="0" fillId="8" borderId="1" xfId="0" applyFill="1" applyBorder="1" applyAlignment="1">
      <alignment vertical="center" wrapText="1"/>
    </xf>
    <xf numFmtId="0" fontId="10" fillId="13" borderId="13" xfId="0" applyFont="1" applyFill="1" applyBorder="1" applyAlignment="1">
      <alignment horizontal="left" vertical="center" wrapText="1"/>
    </xf>
    <xf numFmtId="0" fontId="10" fillId="13" borderId="13" xfId="0" applyFont="1" applyFill="1" applyBorder="1" applyAlignment="1">
      <alignment horizontal="center" vertical="center" wrapText="1"/>
    </xf>
    <xf numFmtId="0" fontId="10" fillId="14" borderId="13" xfId="0" applyFont="1" applyFill="1" applyBorder="1" applyAlignment="1">
      <alignment horizontal="center" vertical="center" wrapText="1"/>
    </xf>
    <xf numFmtId="164" fontId="10" fillId="15" borderId="13" xfId="0" applyNumberFormat="1" applyFont="1" applyFill="1" applyBorder="1" applyAlignment="1">
      <alignment horizontal="center" vertical="center" wrapText="1"/>
    </xf>
    <xf numFmtId="0" fontId="10" fillId="15" borderId="13" xfId="0" applyFont="1" applyFill="1" applyBorder="1" applyAlignment="1">
      <alignment horizontal="center" vertical="center" wrapText="1"/>
    </xf>
    <xf numFmtId="0" fontId="10" fillId="14" borderId="13" xfId="0" applyFont="1" applyFill="1" applyBorder="1" applyAlignment="1">
      <alignment vertical="center" wrapText="1"/>
    </xf>
    <xf numFmtId="0" fontId="11" fillId="16" borderId="13" xfId="0" applyFont="1" applyFill="1" applyBorder="1" applyAlignment="1">
      <alignment vertical="center" wrapText="1"/>
    </xf>
    <xf numFmtId="0" fontId="13" fillId="18" borderId="13" xfId="0" applyFont="1" applyFill="1" applyBorder="1" applyAlignment="1">
      <alignment vertical="center" wrapText="1"/>
    </xf>
    <xf numFmtId="0" fontId="15" fillId="16" borderId="13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4" fillId="4" borderId="0" xfId="0" applyFont="1" applyFill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vertical="center" wrapText="1"/>
    </xf>
    <xf numFmtId="0" fontId="3" fillId="3" borderId="9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/>
    </xf>
    <xf numFmtId="0" fontId="2" fillId="3" borderId="0" xfId="0" applyFont="1" applyFill="1"/>
    <xf numFmtId="0" fontId="6" fillId="7" borderId="0" xfId="0" applyFont="1" applyFill="1" applyAlignment="1">
      <alignment vertical="center"/>
    </xf>
    <xf numFmtId="0" fontId="7" fillId="8" borderId="0" xfId="0" applyFont="1" applyFill="1" applyAlignment="1">
      <alignment vertical="center" wrapText="1"/>
    </xf>
    <xf numFmtId="0" fontId="9" fillId="11" borderId="0" xfId="0" applyFont="1" applyFill="1" applyAlignment="1">
      <alignment wrapText="1"/>
    </xf>
    <xf numFmtId="0" fontId="13" fillId="18" borderId="13" xfId="0" applyFont="1" applyFill="1" applyBorder="1" applyAlignment="1">
      <alignment horizontal="left" vertical="center" wrapText="1"/>
    </xf>
    <xf numFmtId="0" fontId="13" fillId="18" borderId="13" xfId="0" applyFont="1" applyFill="1" applyBorder="1" applyAlignment="1">
      <alignment horizontal="center" vertical="center" wrapText="1"/>
    </xf>
    <xf numFmtId="164" fontId="10" fillId="15" borderId="13" xfId="0" applyNumberFormat="1" applyFont="1" applyFill="1" applyBorder="1" applyAlignment="1">
      <alignment horizontal="right" vertical="center" wrapText="1"/>
    </xf>
    <xf numFmtId="0" fontId="10" fillId="15" borderId="13" xfId="0" applyFont="1" applyFill="1" applyBorder="1" applyAlignment="1">
      <alignment horizontal="right" vertical="center" wrapText="1"/>
    </xf>
    <xf numFmtId="0" fontId="10" fillId="14" borderId="13" xfId="0" applyFont="1" applyFill="1" applyBorder="1" applyAlignment="1">
      <alignment horizontal="center" vertical="top" wrapText="1"/>
    </xf>
    <xf numFmtId="0" fontId="10" fillId="14" borderId="13" xfId="0" applyFont="1" applyFill="1" applyBorder="1" applyAlignment="1">
      <alignment vertical="top" wrapText="1"/>
    </xf>
    <xf numFmtId="0" fontId="14" fillId="19" borderId="13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vertical="center"/>
    </xf>
    <xf numFmtId="0" fontId="2" fillId="8" borderId="0" xfId="0" applyFont="1" applyFill="1" applyAlignment="1">
      <alignment vertical="center" wrapText="1"/>
    </xf>
    <xf numFmtId="0" fontId="12" fillId="17" borderId="14" xfId="0" applyFont="1" applyFill="1" applyBorder="1" applyAlignment="1">
      <alignment horizontal="left" vertical="center" wrapText="1"/>
    </xf>
    <xf numFmtId="0" fontId="12" fillId="17" borderId="14" xfId="0" applyFont="1" applyFill="1" applyBorder="1" applyAlignment="1">
      <alignment horizontal="center" vertical="center" wrapText="1"/>
    </xf>
    <xf numFmtId="0" fontId="12" fillId="17" borderId="14" xfId="0" applyFont="1" applyFill="1" applyBorder="1" applyAlignment="1">
      <alignment vertical="center" wrapText="1"/>
    </xf>
    <xf numFmtId="164" fontId="13" fillId="18" borderId="13" xfId="0" applyNumberFormat="1" applyFont="1" applyFill="1" applyBorder="1" applyAlignment="1">
      <alignment horizontal="center" vertical="center" wrapText="1"/>
    </xf>
    <xf numFmtId="0" fontId="13" fillId="18" borderId="13" xfId="0" applyFont="1" applyFill="1" applyBorder="1" applyAlignment="1">
      <alignment vertical="center" wrapText="1"/>
    </xf>
    <xf numFmtId="0" fontId="3" fillId="6" borderId="3" xfId="0" applyFont="1" applyFill="1" applyBorder="1" applyAlignment="1">
      <alignment vertical="center" wrapText="1"/>
    </xf>
    <xf numFmtId="0" fontId="3" fillId="6" borderId="4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3" fillId="6" borderId="6" xfId="0" applyFont="1" applyFill="1" applyBorder="1" applyAlignment="1">
      <alignment vertical="center" wrapText="1"/>
    </xf>
    <xf numFmtId="0" fontId="4" fillId="9" borderId="0" xfId="0" applyFont="1" applyFill="1" applyAlignment="1">
      <alignment vertical="center"/>
    </xf>
    <xf numFmtId="0" fontId="6" fillId="9" borderId="0" xfId="0" applyFont="1" applyFill="1" applyAlignment="1">
      <alignment vertical="center"/>
    </xf>
    <xf numFmtId="0" fontId="3" fillId="6" borderId="8" xfId="0" applyFont="1" applyFill="1" applyBorder="1" applyAlignment="1">
      <alignment vertical="center" wrapText="1"/>
    </xf>
    <xf numFmtId="0" fontId="3" fillId="6" borderId="9" xfId="0" applyFont="1" applyFill="1" applyBorder="1" applyAlignment="1">
      <alignment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</cellXfs>
  <cellStyles count="1">
    <cellStyle name="Normal" xfId="0" builtinId="0"/>
  </cellStyles>
  <dxfs count="7">
    <dxf>
      <font>
        <b/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6500"/>
      </font>
      <fill>
        <patternFill>
          <bgColor rgb="FFFFF2CC"/>
        </patternFill>
      </fill>
    </dxf>
    <dxf>
      <font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AIToolInventoryTable" displayName="AIToolInventoryTable" ref="A4:Q34" totalsRowShown="0">
  <autoFilter ref="A4:Q34"/>
  <tableColumns count="17">
    <tableColumn id="1" name="台账编号_x000a_Inventory ID"/>
    <tableColumn id="2" name="工具名称_x000a_Tool Name"/>
    <tableColumn id="3" name="供应商_x000a_Vendor"/>
    <tableColumn id="4" name="业务用途_x000a_Business Use"/>
    <tableColumn id="5" name="使用部门_x000a_Department"/>
    <tableColumn id="6" name="业务负责人_x000a_Business Owner"/>
    <tableColumn id="7" name="工具负责人_x000a_Tool Owner"/>
    <tableColumn id="8" name="部署模式_x000a_Deployment"/>
    <tableColumn id="9" name="数据分类_x000a_Data Classification"/>
    <tableColumn id="10" name="个人数据_x000a_Personal Data"/>
    <tableColumn id="11" name="风险等级_x000a_Risk Level"/>
    <tableColumn id="12" name="审批状态_x000a_Approval Status"/>
    <tableColumn id="13" name="上线日期_x000a_Go-live Date"/>
    <tableColumn id="14" name="下次复审_x000a_Next Review"/>
    <tableColumn id="15" name="当前状态_x000a_Current Status"/>
    <tableColumn id="16" name="退出安排_x000a_Exit Plan"/>
    <tableColumn id="17" name="备注_x000a_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showGridLines="0" tabSelected="1" workbookViewId="0">
      <selection activeCell="B11" sqref="B11"/>
    </sheetView>
  </sheetViews>
  <sheetFormatPr defaultRowHeight="14.25"/>
  <cols>
    <col min="1" max="1" width="18" customWidth="1"/>
    <col min="2" max="2" width="20" customWidth="1"/>
    <col min="3" max="3" width="18" customWidth="1"/>
    <col min="4" max="4" width="20" customWidth="1"/>
    <col min="5" max="5" width="18" customWidth="1"/>
    <col min="6" max="6" width="20" customWidth="1"/>
    <col min="7" max="7" width="18" customWidth="1"/>
    <col min="8" max="8" width="20" customWidth="1"/>
  </cols>
  <sheetData>
    <row r="1" spans="1:8" ht="33.950000000000003" customHeight="1">
      <c r="A1" s="55" t="s">
        <v>0</v>
      </c>
      <c r="B1" s="55"/>
      <c r="C1" s="55"/>
      <c r="D1" s="55"/>
      <c r="E1" s="55"/>
      <c r="F1" s="55"/>
      <c r="G1" s="55"/>
      <c r="H1" s="55"/>
    </row>
    <row r="2" spans="1:8">
      <c r="A2" s="56" t="s">
        <v>1</v>
      </c>
      <c r="B2" s="56"/>
      <c r="C2" s="56"/>
      <c r="D2" s="56"/>
      <c r="E2" s="56"/>
      <c r="F2" s="56"/>
      <c r="G2" s="56"/>
      <c r="H2" s="56"/>
    </row>
    <row r="3" spans="1:8">
      <c r="A3" s="1"/>
      <c r="B3" s="1"/>
      <c r="C3" s="1"/>
      <c r="D3" s="1"/>
      <c r="E3" s="1"/>
      <c r="F3" s="1"/>
      <c r="G3" s="1"/>
      <c r="H3" s="1"/>
    </row>
    <row r="4" spans="1:8" ht="15">
      <c r="A4" s="43" t="s">
        <v>2</v>
      </c>
      <c r="B4" s="43"/>
      <c r="C4" s="43"/>
      <c r="D4" s="43"/>
      <c r="E4" s="43"/>
      <c r="F4" s="43"/>
      <c r="G4" s="43"/>
      <c r="H4" s="43"/>
    </row>
    <row r="5" spans="1:8" ht="30">
      <c r="A5" s="2" t="s">
        <v>3</v>
      </c>
      <c r="B5" s="3"/>
      <c r="C5" s="2" t="s">
        <v>4</v>
      </c>
      <c r="D5" s="3"/>
      <c r="E5" s="2" t="s">
        <v>5</v>
      </c>
      <c r="F5" s="3"/>
      <c r="G5" s="2" t="s">
        <v>6</v>
      </c>
      <c r="H5" s="3"/>
    </row>
    <row r="6" spans="1:8" ht="30">
      <c r="A6" s="2" t="s">
        <v>7</v>
      </c>
      <c r="B6" s="3"/>
      <c r="C6" s="2" t="s">
        <v>8</v>
      </c>
      <c r="D6" s="3"/>
      <c r="E6" s="2" t="s">
        <v>9</v>
      </c>
      <c r="F6" s="3"/>
      <c r="G6" s="2" t="s">
        <v>10</v>
      </c>
      <c r="H6" s="3"/>
    </row>
    <row r="7" spans="1:8" ht="30">
      <c r="A7" s="2" t="s">
        <v>11</v>
      </c>
      <c r="B7" s="3"/>
      <c r="C7" s="2" t="s">
        <v>12</v>
      </c>
      <c r="D7" s="3"/>
      <c r="E7" s="2" t="s">
        <v>13</v>
      </c>
      <c r="F7" s="3"/>
      <c r="G7" s="2" t="s">
        <v>14</v>
      </c>
      <c r="H7" s="3"/>
    </row>
    <row r="8" spans="1:8" ht="30">
      <c r="A8" s="2" t="s">
        <v>15</v>
      </c>
      <c r="B8" s="44"/>
      <c r="C8" s="45"/>
      <c r="D8" s="44"/>
      <c r="E8" s="2" t="s">
        <v>16</v>
      </c>
      <c r="F8" s="44"/>
      <c r="G8" s="45"/>
      <c r="H8" s="44"/>
    </row>
    <row r="9" spans="1:8">
      <c r="A9" s="1"/>
      <c r="B9" s="1"/>
      <c r="C9" s="1"/>
      <c r="D9" s="1"/>
      <c r="E9" s="1"/>
      <c r="F9" s="1"/>
      <c r="G9" s="1"/>
      <c r="H9" s="1"/>
    </row>
    <row r="10" spans="1:8" ht="15">
      <c r="A10" s="43" t="s">
        <v>17</v>
      </c>
      <c r="B10" s="43"/>
      <c r="C10" s="43"/>
      <c r="D10" s="43"/>
      <c r="E10" s="43"/>
      <c r="F10" s="43"/>
      <c r="G10" s="43"/>
      <c r="H10" s="43"/>
    </row>
    <row r="11" spans="1:8" ht="30">
      <c r="A11" s="2" t="s">
        <v>18</v>
      </c>
      <c r="B11" s="3"/>
      <c r="C11" s="2" t="s">
        <v>19</v>
      </c>
      <c r="D11" s="3"/>
      <c r="E11" s="2" t="s">
        <v>20</v>
      </c>
      <c r="F11" s="3"/>
      <c r="G11" s="2" t="s">
        <v>21</v>
      </c>
      <c r="H11" s="3"/>
    </row>
    <row r="12" spans="1:8" ht="30">
      <c r="A12" s="2" t="s">
        <v>22</v>
      </c>
      <c r="B12" s="3"/>
      <c r="C12" s="2" t="s">
        <v>23</v>
      </c>
      <c r="D12" s="3"/>
      <c r="E12" s="2" t="s">
        <v>24</v>
      </c>
      <c r="F12" s="3"/>
      <c r="G12" s="2" t="s">
        <v>25</v>
      </c>
      <c r="H12" s="3"/>
    </row>
    <row r="13" spans="1:8" ht="30">
      <c r="A13" s="2" t="s">
        <v>26</v>
      </c>
      <c r="B13" s="3"/>
      <c r="C13" s="2" t="s">
        <v>27</v>
      </c>
      <c r="D13" s="3"/>
      <c r="E13" s="2" t="s">
        <v>28</v>
      </c>
      <c r="F13" s="3"/>
      <c r="G13" s="2" t="s">
        <v>29</v>
      </c>
      <c r="H13" s="3"/>
    </row>
    <row r="14" spans="1:8" ht="39.950000000000003" customHeight="1">
      <c r="A14" s="2" t="s">
        <v>30</v>
      </c>
      <c r="B14" s="44"/>
      <c r="C14" s="45"/>
      <c r="D14" s="44"/>
      <c r="E14" s="45"/>
      <c r="F14" s="44"/>
      <c r="G14" s="45"/>
      <c r="H14" s="44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46" t="s">
        <v>31</v>
      </c>
      <c r="B16" s="47"/>
      <c r="C16" s="47"/>
      <c r="D16" s="47"/>
      <c r="E16" s="47"/>
      <c r="F16" s="47"/>
      <c r="G16" s="47"/>
      <c r="H16" s="48"/>
    </row>
    <row r="17" spans="1:8">
      <c r="A17" s="49"/>
      <c r="B17" s="50"/>
      <c r="C17" s="50"/>
      <c r="D17" s="50"/>
      <c r="E17" s="50"/>
      <c r="F17" s="50"/>
      <c r="G17" s="50"/>
      <c r="H17" s="51"/>
    </row>
    <row r="18" spans="1:8">
      <c r="A18" s="52"/>
      <c r="B18" s="53"/>
      <c r="C18" s="53"/>
      <c r="D18" s="53"/>
      <c r="E18" s="53"/>
      <c r="F18" s="53"/>
      <c r="G18" s="53"/>
      <c r="H18" s="54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</sheetData>
  <mergeCells count="8">
    <mergeCell ref="A10:H10"/>
    <mergeCell ref="B14:H14"/>
    <mergeCell ref="A16:H18"/>
    <mergeCell ref="A1:H1"/>
    <mergeCell ref="A2:H2"/>
    <mergeCell ref="A4:H4"/>
    <mergeCell ref="B8:D8"/>
    <mergeCell ref="F8:H8"/>
  </mergeCells>
  <dataValidations count="4">
    <dataValidation type="list" sqref="B6">
      <formula1>"新引入 / New,试点 / PoC,采购 / Purchase,续约 / Renewal,重大变更 / Major change,补登记 / Registration"</formula1>
    </dataValidation>
    <dataValidation type="list" sqref="B7">
      <formula1>"SaaS / Cloud,本地部署 / On-premises,私有云 / Private cloud,插件/API / Plugin/API,嵌入系统 / Embedded,其他 / Other"</formula1>
    </dataValidation>
    <dataValidation type="list" sqref="B13 H12 D11:D12 F11:F12">
      <formula1>"是 / Yes,否 / No,待确认 / TBD"</formula1>
    </dataValidation>
    <dataValidation type="list" sqref="H11">
      <formula1>"公开 / Public,内部 / Internal,机密 / Confidential,严格机密/受限 / Restricted"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showGridLines="0" workbookViewId="0">
      <selection activeCell="C9" sqref="C9"/>
    </sheetView>
  </sheetViews>
  <sheetFormatPr defaultRowHeight="14.25"/>
  <cols>
    <col min="1" max="1" width="9" customWidth="1"/>
    <col min="2" max="2" width="20" customWidth="1"/>
    <col min="3" max="4" width="48" customWidth="1"/>
    <col min="5" max="6" width="18" customWidth="1"/>
    <col min="7" max="7" width="25" customWidth="1"/>
    <col min="8" max="8" width="28" customWidth="1"/>
  </cols>
  <sheetData>
    <row r="1" spans="1:8" ht="15">
      <c r="A1" s="57" t="s">
        <v>32</v>
      </c>
      <c r="B1" s="57"/>
      <c r="C1" s="57"/>
      <c r="D1" s="57"/>
      <c r="E1" s="57"/>
      <c r="F1" s="57"/>
      <c r="G1" s="57"/>
      <c r="H1" s="57"/>
    </row>
    <row r="2" spans="1:8">
      <c r="A2" s="58" t="s">
        <v>33</v>
      </c>
      <c r="B2" s="58"/>
      <c r="C2" s="58"/>
      <c r="D2" s="58"/>
      <c r="E2" s="58"/>
      <c r="F2" s="58"/>
      <c r="G2" s="58"/>
      <c r="H2" s="58"/>
    </row>
    <row r="4" spans="1:8" ht="15">
      <c r="A4" s="25" t="s">
        <v>34</v>
      </c>
      <c r="B4" s="25" t="s">
        <v>35</v>
      </c>
      <c r="C4" s="25" t="s">
        <v>36</v>
      </c>
      <c r="D4" s="25" t="s">
        <v>37</v>
      </c>
      <c r="E4" s="25" t="s">
        <v>38</v>
      </c>
      <c r="F4" s="25" t="s">
        <v>39</v>
      </c>
      <c r="G4" s="25" t="s">
        <v>40</v>
      </c>
      <c r="H4" s="25" t="s">
        <v>41</v>
      </c>
    </row>
    <row r="5" spans="1:8" ht="57.95" customHeight="1">
      <c r="A5" s="28" t="s">
        <v>42</v>
      </c>
      <c r="B5" s="28" t="s">
        <v>43</v>
      </c>
      <c r="C5" s="28" t="s">
        <v>44</v>
      </c>
      <c r="D5" s="28" t="s">
        <v>45</v>
      </c>
      <c r="E5" s="31" t="s">
        <v>46</v>
      </c>
      <c r="F5" s="31"/>
      <c r="G5" s="28" t="s">
        <v>47</v>
      </c>
      <c r="H5" s="26" t="s">
        <v>48</v>
      </c>
    </row>
    <row r="6" spans="1:8" ht="57.95" customHeight="1">
      <c r="A6" s="28" t="s">
        <v>49</v>
      </c>
      <c r="B6" s="28" t="s">
        <v>43</v>
      </c>
      <c r="C6" s="28" t="s">
        <v>50</v>
      </c>
      <c r="D6" s="28" t="s">
        <v>51</v>
      </c>
      <c r="E6" s="31" t="s">
        <v>46</v>
      </c>
      <c r="F6" s="31"/>
      <c r="G6" s="28" t="s">
        <v>52</v>
      </c>
      <c r="H6" s="26" t="s">
        <v>53</v>
      </c>
    </row>
    <row r="7" spans="1:8" ht="57.95" customHeight="1">
      <c r="A7" s="28" t="s">
        <v>54</v>
      </c>
      <c r="B7" s="28" t="s">
        <v>43</v>
      </c>
      <c r="C7" s="28" t="s">
        <v>55</v>
      </c>
      <c r="D7" s="28" t="s">
        <v>56</v>
      </c>
      <c r="E7" s="31" t="s">
        <v>46</v>
      </c>
      <c r="F7" s="31"/>
      <c r="G7" s="28" t="s">
        <v>57</v>
      </c>
      <c r="H7" s="26" t="s">
        <v>58</v>
      </c>
    </row>
    <row r="8" spans="1:8" ht="57.95" customHeight="1">
      <c r="A8" s="28" t="s">
        <v>59</v>
      </c>
      <c r="B8" s="28" t="s">
        <v>43</v>
      </c>
      <c r="C8" s="28" t="s">
        <v>60</v>
      </c>
      <c r="D8" s="28" t="s">
        <v>61</v>
      </c>
      <c r="E8" s="31" t="s">
        <v>46</v>
      </c>
      <c r="F8" s="31"/>
      <c r="G8" s="28" t="s">
        <v>62</v>
      </c>
      <c r="H8" s="26" t="s">
        <v>63</v>
      </c>
    </row>
    <row r="9" spans="1:8" ht="57.95" customHeight="1">
      <c r="A9" s="28" t="s">
        <v>64</v>
      </c>
      <c r="B9" s="28" t="s">
        <v>65</v>
      </c>
      <c r="C9" s="28" t="s">
        <v>66</v>
      </c>
      <c r="D9" s="28" t="s">
        <v>67</v>
      </c>
      <c r="E9" s="31" t="s">
        <v>46</v>
      </c>
      <c r="F9" s="31"/>
      <c r="G9" s="28" t="s">
        <v>68</v>
      </c>
      <c r="H9" s="26" t="s">
        <v>69</v>
      </c>
    </row>
    <row r="10" spans="1:8" ht="57.95" customHeight="1">
      <c r="A10" s="28" t="s">
        <v>70</v>
      </c>
      <c r="B10" s="28" t="s">
        <v>71</v>
      </c>
      <c r="C10" s="28" t="s">
        <v>72</v>
      </c>
      <c r="D10" s="28" t="s">
        <v>73</v>
      </c>
      <c r="E10" s="31" t="s">
        <v>46</v>
      </c>
      <c r="F10" s="31"/>
      <c r="G10" s="28" t="s">
        <v>68</v>
      </c>
      <c r="H10" s="26" t="s">
        <v>69</v>
      </c>
    </row>
    <row r="11" spans="1:8" ht="57.95" customHeight="1">
      <c r="A11" s="28" t="s">
        <v>74</v>
      </c>
      <c r="B11" s="28" t="s">
        <v>75</v>
      </c>
      <c r="C11" s="28" t="s">
        <v>76</v>
      </c>
      <c r="D11" s="28" t="s">
        <v>77</v>
      </c>
      <c r="E11" s="31" t="s">
        <v>46</v>
      </c>
      <c r="F11" s="31"/>
      <c r="G11" s="28" t="s">
        <v>78</v>
      </c>
      <c r="H11" s="26" t="s">
        <v>79</v>
      </c>
    </row>
    <row r="12" spans="1:8" ht="57.95" customHeight="1">
      <c r="A12" s="28" t="s">
        <v>80</v>
      </c>
      <c r="B12" s="28" t="s">
        <v>81</v>
      </c>
      <c r="C12" s="28" t="s">
        <v>82</v>
      </c>
      <c r="D12" s="28" t="s">
        <v>83</v>
      </c>
      <c r="E12" s="31" t="s">
        <v>46</v>
      </c>
      <c r="F12" s="31"/>
      <c r="G12" s="28" t="s">
        <v>84</v>
      </c>
      <c r="H12" s="26" t="s">
        <v>85</v>
      </c>
    </row>
    <row r="13" spans="1:8" ht="57.95" customHeight="1">
      <c r="A13" s="28" t="s">
        <v>86</v>
      </c>
      <c r="B13" s="28" t="s">
        <v>87</v>
      </c>
      <c r="C13" s="28" t="s">
        <v>88</v>
      </c>
      <c r="D13" s="28" t="s">
        <v>89</v>
      </c>
      <c r="E13" s="31" t="s">
        <v>46</v>
      </c>
      <c r="F13" s="31"/>
      <c r="G13" s="28" t="s">
        <v>90</v>
      </c>
      <c r="H13" s="26" t="s">
        <v>69</v>
      </c>
    </row>
    <row r="14" spans="1:8" ht="57.95" customHeight="1">
      <c r="A14" s="28" t="s">
        <v>91</v>
      </c>
      <c r="B14" s="28" t="s">
        <v>92</v>
      </c>
      <c r="C14" s="28" t="s">
        <v>93</v>
      </c>
      <c r="D14" s="28" t="s">
        <v>94</v>
      </c>
      <c r="E14" s="31" t="s">
        <v>46</v>
      </c>
      <c r="F14" s="31"/>
      <c r="G14" s="28" t="s">
        <v>68</v>
      </c>
      <c r="H14" s="26" t="s">
        <v>95</v>
      </c>
    </row>
    <row r="15" spans="1:8" ht="57.95" customHeight="1">
      <c r="A15" s="28" t="s">
        <v>96</v>
      </c>
      <c r="B15" s="28" t="s">
        <v>97</v>
      </c>
      <c r="C15" s="28" t="s">
        <v>98</v>
      </c>
      <c r="D15" s="28" t="s">
        <v>99</v>
      </c>
      <c r="E15" s="31" t="s">
        <v>46</v>
      </c>
      <c r="F15" s="31"/>
      <c r="G15" s="28" t="s">
        <v>100</v>
      </c>
      <c r="H15" s="26" t="s">
        <v>101</v>
      </c>
    </row>
    <row r="16" spans="1:8" ht="57.95" customHeight="1">
      <c r="A16" s="28" t="s">
        <v>102</v>
      </c>
      <c r="B16" s="28" t="s">
        <v>103</v>
      </c>
      <c r="C16" s="28" t="s">
        <v>104</v>
      </c>
      <c r="D16" s="28" t="s">
        <v>105</v>
      </c>
      <c r="E16" s="31" t="s">
        <v>46</v>
      </c>
      <c r="F16" s="31"/>
      <c r="G16" s="28" t="s">
        <v>106</v>
      </c>
      <c r="H16" s="26" t="s">
        <v>69</v>
      </c>
    </row>
    <row r="17" spans="1:8" ht="57.95" customHeight="1">
      <c r="A17" s="28" t="s">
        <v>107</v>
      </c>
      <c r="B17" s="28" t="s">
        <v>108</v>
      </c>
      <c r="C17" s="28" t="s">
        <v>109</v>
      </c>
      <c r="D17" s="28" t="s">
        <v>110</v>
      </c>
      <c r="E17" s="31" t="s">
        <v>46</v>
      </c>
      <c r="F17" s="31"/>
      <c r="G17" s="28" t="s">
        <v>111</v>
      </c>
      <c r="H17" s="26" t="s">
        <v>79</v>
      </c>
    </row>
    <row r="18" spans="1:8" ht="57.95" customHeight="1">
      <c r="A18" s="28" t="s">
        <v>112</v>
      </c>
      <c r="B18" s="28" t="s">
        <v>113</v>
      </c>
      <c r="C18" s="28" t="s">
        <v>114</v>
      </c>
      <c r="D18" s="28" t="s">
        <v>115</v>
      </c>
      <c r="E18" s="31" t="s">
        <v>46</v>
      </c>
      <c r="F18" s="31"/>
      <c r="G18" s="28" t="s">
        <v>116</v>
      </c>
      <c r="H18" s="26" t="s">
        <v>117</v>
      </c>
    </row>
    <row r="19" spans="1:8" ht="57.95" customHeight="1">
      <c r="A19" s="28" t="s">
        <v>118</v>
      </c>
      <c r="B19" s="28" t="s">
        <v>119</v>
      </c>
      <c r="C19" s="28" t="s">
        <v>120</v>
      </c>
      <c r="D19" s="28" t="s">
        <v>121</v>
      </c>
      <c r="E19" s="31" t="s">
        <v>46</v>
      </c>
      <c r="F19" s="31"/>
      <c r="G19" s="28" t="s">
        <v>122</v>
      </c>
      <c r="H19" s="26" t="s">
        <v>123</v>
      </c>
    </row>
    <row r="20" spans="1:8" ht="57.95" customHeight="1">
      <c r="A20" s="28" t="s">
        <v>124</v>
      </c>
      <c r="B20" s="28" t="s">
        <v>125</v>
      </c>
      <c r="C20" s="28" t="s">
        <v>126</v>
      </c>
      <c r="D20" s="28" t="s">
        <v>127</v>
      </c>
      <c r="E20" s="31" t="s">
        <v>46</v>
      </c>
      <c r="F20" s="31"/>
      <c r="G20" s="28" t="s">
        <v>128</v>
      </c>
      <c r="H20" s="26" t="s">
        <v>129</v>
      </c>
    </row>
    <row r="21" spans="1:8" ht="57.95" customHeight="1">
      <c r="A21" s="28" t="s">
        <v>130</v>
      </c>
      <c r="B21" s="28" t="s">
        <v>131</v>
      </c>
      <c r="C21" s="28" t="s">
        <v>132</v>
      </c>
      <c r="D21" s="28" t="s">
        <v>133</v>
      </c>
      <c r="E21" s="31" t="s">
        <v>46</v>
      </c>
      <c r="F21" s="31"/>
      <c r="G21" s="28" t="s">
        <v>68</v>
      </c>
      <c r="H21" s="26" t="s">
        <v>134</v>
      </c>
    </row>
    <row r="22" spans="1:8" ht="57.95" customHeight="1">
      <c r="A22" s="28" t="s">
        <v>135</v>
      </c>
      <c r="B22" s="28" t="s">
        <v>136</v>
      </c>
      <c r="C22" s="28" t="s">
        <v>137</v>
      </c>
      <c r="D22" s="28" t="s">
        <v>138</v>
      </c>
      <c r="E22" s="31" t="s">
        <v>46</v>
      </c>
      <c r="F22" s="31"/>
      <c r="G22" s="28" t="s">
        <v>139</v>
      </c>
      <c r="H22" s="26" t="s">
        <v>140</v>
      </c>
    </row>
    <row r="23" spans="1:8" ht="57.95" customHeight="1">
      <c r="A23" s="28" t="s">
        <v>141</v>
      </c>
      <c r="B23" s="28" t="s">
        <v>142</v>
      </c>
      <c r="C23" s="28" t="s">
        <v>143</v>
      </c>
      <c r="D23" s="28" t="s">
        <v>144</v>
      </c>
      <c r="E23" s="31" t="s">
        <v>46</v>
      </c>
      <c r="F23" s="31"/>
      <c r="G23" s="28" t="s">
        <v>145</v>
      </c>
      <c r="H23" s="26" t="s">
        <v>69</v>
      </c>
    </row>
    <row r="24" spans="1:8" ht="57.95" customHeight="1">
      <c r="A24" s="28" t="s">
        <v>146</v>
      </c>
      <c r="B24" s="28" t="s">
        <v>147</v>
      </c>
      <c r="C24" s="28" t="s">
        <v>148</v>
      </c>
      <c r="D24" s="28" t="s">
        <v>149</v>
      </c>
      <c r="E24" s="31" t="s">
        <v>46</v>
      </c>
      <c r="F24" s="31"/>
      <c r="G24" s="28" t="s">
        <v>150</v>
      </c>
      <c r="H24" s="26" t="s">
        <v>151</v>
      </c>
    </row>
    <row r="25" spans="1:8" ht="57.95" customHeight="1">
      <c r="A25" s="28" t="s">
        <v>152</v>
      </c>
      <c r="B25" s="28" t="s">
        <v>153</v>
      </c>
      <c r="C25" s="28" t="s">
        <v>154</v>
      </c>
      <c r="D25" s="28" t="s">
        <v>155</v>
      </c>
      <c r="E25" s="31" t="s">
        <v>46</v>
      </c>
      <c r="F25" s="31"/>
      <c r="G25" s="28" t="s">
        <v>68</v>
      </c>
      <c r="H25" s="26" t="s">
        <v>156</v>
      </c>
    </row>
    <row r="26" spans="1:8" ht="57.95" customHeight="1">
      <c r="A26" s="28" t="s">
        <v>157</v>
      </c>
      <c r="B26" s="28" t="s">
        <v>158</v>
      </c>
      <c r="C26" s="28" t="s">
        <v>159</v>
      </c>
      <c r="D26" s="28" t="s">
        <v>160</v>
      </c>
      <c r="E26" s="31" t="s">
        <v>46</v>
      </c>
      <c r="F26" s="31"/>
      <c r="G26" s="28" t="s">
        <v>122</v>
      </c>
      <c r="H26" s="26" t="s">
        <v>161</v>
      </c>
    </row>
    <row r="27" spans="1:8" ht="57.95" customHeight="1">
      <c r="A27" s="28" t="s">
        <v>162</v>
      </c>
      <c r="B27" s="28" t="s">
        <v>163</v>
      </c>
      <c r="C27" s="28" t="s">
        <v>164</v>
      </c>
      <c r="D27" s="28" t="s">
        <v>165</v>
      </c>
      <c r="E27" s="31" t="s">
        <v>46</v>
      </c>
      <c r="F27" s="31"/>
      <c r="G27" s="28" t="s">
        <v>166</v>
      </c>
      <c r="H27" s="26" t="s">
        <v>167</v>
      </c>
    </row>
    <row r="28" spans="1:8" ht="57.95" customHeight="1">
      <c r="A28" s="28" t="s">
        <v>168</v>
      </c>
      <c r="B28" s="28" t="s">
        <v>169</v>
      </c>
      <c r="C28" s="28" t="s">
        <v>170</v>
      </c>
      <c r="D28" s="28" t="s">
        <v>171</v>
      </c>
      <c r="E28" s="31" t="s">
        <v>46</v>
      </c>
      <c r="F28" s="31"/>
      <c r="G28" s="28" t="s">
        <v>68</v>
      </c>
      <c r="H28" s="26" t="s">
        <v>172</v>
      </c>
    </row>
    <row r="29" spans="1:8" ht="57.95" customHeight="1">
      <c r="A29" s="28" t="s">
        <v>173</v>
      </c>
      <c r="B29" s="28" t="s">
        <v>174</v>
      </c>
      <c r="C29" s="28" t="s">
        <v>175</v>
      </c>
      <c r="D29" s="28" t="s">
        <v>176</v>
      </c>
      <c r="E29" s="31" t="s">
        <v>46</v>
      </c>
      <c r="F29" s="31"/>
      <c r="G29" s="28" t="s">
        <v>177</v>
      </c>
      <c r="H29" s="26" t="s">
        <v>178</v>
      </c>
    </row>
    <row r="31" spans="1:8" ht="39.950000000000003" customHeight="1">
      <c r="A31" s="58" t="s">
        <v>179</v>
      </c>
      <c r="B31" s="58"/>
      <c r="C31" s="58"/>
      <c r="D31" s="58"/>
      <c r="E31" s="58"/>
      <c r="F31" s="58"/>
      <c r="G31" s="58"/>
      <c r="H31" s="58"/>
    </row>
    <row r="32" spans="1:8">
      <c r="A32" s="59" t="s">
        <v>180</v>
      </c>
      <c r="B32" s="59"/>
      <c r="C32" s="59"/>
      <c r="D32" s="59"/>
      <c r="E32" s="59"/>
      <c r="F32" s="59"/>
      <c r="G32" s="59"/>
      <c r="H32" s="59"/>
    </row>
  </sheetData>
  <mergeCells count="4">
    <mergeCell ref="A1:H1"/>
    <mergeCell ref="A2:H2"/>
    <mergeCell ref="A31:H31"/>
    <mergeCell ref="A32:H32"/>
  </mergeCells>
  <dataValidations count="1">
    <dataValidation type="list" sqref="E5:E29">
      <formula1>"待确认 / TBD,符合 / Compliant,部分符合 / Partial,不符合 / Non-compliant,不适用 / N/A"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showGridLines="0" workbookViewId="0">
      <selection activeCell="C6" sqref="C6"/>
    </sheetView>
  </sheetViews>
  <sheetFormatPr defaultRowHeight="14.25"/>
  <cols>
    <col min="1" max="1" width="8" customWidth="1"/>
    <col min="2" max="2" width="20" customWidth="1"/>
    <col min="3" max="3" width="52" customWidth="1"/>
    <col min="4" max="6" width="10" customWidth="1"/>
    <col min="7" max="7" width="35" customWidth="1"/>
    <col min="8" max="8" width="34" customWidth="1"/>
  </cols>
  <sheetData>
    <row r="1" spans="1:8" ht="30" customHeight="1">
      <c r="A1" s="67" t="s">
        <v>181</v>
      </c>
      <c r="B1" s="67"/>
      <c r="C1" s="67"/>
      <c r="D1" s="67"/>
      <c r="E1" s="67"/>
      <c r="F1" s="67"/>
      <c r="G1" s="67"/>
      <c r="H1" s="57"/>
    </row>
    <row r="2" spans="1:8" ht="24.95" customHeight="1">
      <c r="A2" s="68" t="s">
        <v>251</v>
      </c>
      <c r="B2" s="68"/>
      <c r="C2" s="68"/>
      <c r="D2" s="68"/>
      <c r="E2" s="68"/>
      <c r="F2" s="68"/>
      <c r="G2" s="68"/>
      <c r="H2" s="58"/>
    </row>
    <row r="3" spans="1:8">
      <c r="A3" s="1"/>
      <c r="B3" s="1"/>
      <c r="C3" s="1"/>
      <c r="D3" s="1"/>
      <c r="E3" s="1"/>
      <c r="F3" s="1"/>
      <c r="G3" s="1"/>
    </row>
    <row r="4" spans="1:8" ht="30">
      <c r="A4" s="24" t="s">
        <v>34</v>
      </c>
      <c r="B4" s="24" t="s">
        <v>182</v>
      </c>
      <c r="C4" s="24" t="s">
        <v>183</v>
      </c>
      <c r="D4" s="24" t="s">
        <v>184</v>
      </c>
      <c r="E4" s="24" t="s">
        <v>185</v>
      </c>
      <c r="F4" s="24" t="s">
        <v>186</v>
      </c>
      <c r="G4" s="24" t="s">
        <v>187</v>
      </c>
      <c r="H4" s="25" t="s">
        <v>41</v>
      </c>
    </row>
    <row r="5" spans="1:8" ht="68.099999999999994" customHeight="1">
      <c r="A5" s="32" t="s">
        <v>252</v>
      </c>
      <c r="B5" s="33" t="s">
        <v>253</v>
      </c>
      <c r="C5" s="33" t="s">
        <v>254</v>
      </c>
      <c r="D5" s="34"/>
      <c r="E5" s="35">
        <v>1.5</v>
      </c>
      <c r="F5" s="35" t="str">
        <f t="shared" ref="F5:F12" si="0">IF(D5="","",D5*E5)</f>
        <v/>
      </c>
      <c r="G5" s="37"/>
      <c r="H5" s="38" t="s">
        <v>255</v>
      </c>
    </row>
    <row r="6" spans="1:8" ht="68.099999999999994" customHeight="1">
      <c r="A6" s="32" t="s">
        <v>256</v>
      </c>
      <c r="B6" s="33" t="s">
        <v>257</v>
      </c>
      <c r="C6" s="33" t="s">
        <v>258</v>
      </c>
      <c r="D6" s="34"/>
      <c r="E6" s="35">
        <v>1.5</v>
      </c>
      <c r="F6" s="35" t="str">
        <f t="shared" si="0"/>
        <v/>
      </c>
      <c r="G6" s="37"/>
      <c r="H6" s="38" t="s">
        <v>259</v>
      </c>
    </row>
    <row r="7" spans="1:8" ht="68.099999999999994" customHeight="1">
      <c r="A7" s="32" t="s">
        <v>260</v>
      </c>
      <c r="B7" s="33" t="s">
        <v>261</v>
      </c>
      <c r="C7" s="33" t="s">
        <v>262</v>
      </c>
      <c r="D7" s="34"/>
      <c r="E7" s="35">
        <v>1.2</v>
      </c>
      <c r="F7" s="35" t="str">
        <f t="shared" si="0"/>
        <v/>
      </c>
      <c r="G7" s="37"/>
      <c r="H7" s="38" t="s">
        <v>263</v>
      </c>
    </row>
    <row r="8" spans="1:8" ht="68.099999999999994" customHeight="1">
      <c r="A8" s="32" t="s">
        <v>264</v>
      </c>
      <c r="B8" s="33" t="s">
        <v>265</v>
      </c>
      <c r="C8" s="33" t="s">
        <v>266</v>
      </c>
      <c r="D8" s="34"/>
      <c r="E8" s="35">
        <v>1.2</v>
      </c>
      <c r="F8" s="35" t="str">
        <f t="shared" si="0"/>
        <v/>
      </c>
      <c r="G8" s="37"/>
      <c r="H8" s="38" t="s">
        <v>267</v>
      </c>
    </row>
    <row r="9" spans="1:8" ht="68.099999999999994" customHeight="1">
      <c r="A9" s="32" t="s">
        <v>268</v>
      </c>
      <c r="B9" s="33" t="s">
        <v>269</v>
      </c>
      <c r="C9" s="33" t="s">
        <v>270</v>
      </c>
      <c r="D9" s="34"/>
      <c r="E9" s="35">
        <v>1.5</v>
      </c>
      <c r="F9" s="35" t="str">
        <f t="shared" si="0"/>
        <v/>
      </c>
      <c r="G9" s="37"/>
      <c r="H9" s="38" t="s">
        <v>271</v>
      </c>
    </row>
    <row r="10" spans="1:8" ht="68.099999999999994" customHeight="1">
      <c r="A10" s="32" t="s">
        <v>272</v>
      </c>
      <c r="B10" s="33" t="s">
        <v>273</v>
      </c>
      <c r="C10" s="33" t="s">
        <v>274</v>
      </c>
      <c r="D10" s="34"/>
      <c r="E10" s="35">
        <v>1.5</v>
      </c>
      <c r="F10" s="35" t="str">
        <f t="shared" si="0"/>
        <v/>
      </c>
      <c r="G10" s="37"/>
      <c r="H10" s="38" t="s">
        <v>275</v>
      </c>
    </row>
    <row r="11" spans="1:8" ht="68.099999999999994" customHeight="1">
      <c r="A11" s="32" t="s">
        <v>276</v>
      </c>
      <c r="B11" s="33" t="s">
        <v>277</v>
      </c>
      <c r="C11" s="33" t="s">
        <v>278</v>
      </c>
      <c r="D11" s="34"/>
      <c r="E11" s="35">
        <v>1.3</v>
      </c>
      <c r="F11" s="35" t="str">
        <f t="shared" si="0"/>
        <v/>
      </c>
      <c r="G11" s="37"/>
      <c r="H11" s="38" t="s">
        <v>279</v>
      </c>
    </row>
    <row r="12" spans="1:8" ht="68.099999999999994" customHeight="1">
      <c r="A12" s="32" t="s">
        <v>280</v>
      </c>
      <c r="B12" s="33" t="s">
        <v>281</v>
      </c>
      <c r="C12" s="33" t="s">
        <v>282</v>
      </c>
      <c r="D12" s="34"/>
      <c r="E12" s="35">
        <v>1.2</v>
      </c>
      <c r="F12" s="35" t="str">
        <f t="shared" si="0"/>
        <v/>
      </c>
      <c r="G12" s="37"/>
      <c r="H12" s="38" t="s">
        <v>283</v>
      </c>
    </row>
    <row r="13" spans="1:8" ht="68.099999999999994" customHeight="1">
      <c r="A13" s="32" t="s">
        <v>284</v>
      </c>
      <c r="B13" s="33" t="s">
        <v>285</v>
      </c>
      <c r="C13" s="33" t="s">
        <v>286</v>
      </c>
      <c r="D13" s="34"/>
      <c r="E13" s="36">
        <v>1.3</v>
      </c>
      <c r="F13" s="36" t="str">
        <f>IF(D13="","",D13*E13)</f>
        <v/>
      </c>
      <c r="G13" s="37"/>
      <c r="H13" s="38" t="s">
        <v>287</v>
      </c>
    </row>
    <row r="14" spans="1:8" ht="14.1" customHeight="1"/>
    <row r="15" spans="1:8" ht="21.95" customHeight="1">
      <c r="A15" s="69" t="s">
        <v>288</v>
      </c>
      <c r="B15" s="70"/>
      <c r="C15" s="70"/>
      <c r="D15" s="70"/>
      <c r="E15" s="70"/>
      <c r="F15" s="70"/>
      <c r="G15" s="71"/>
      <c r="H15" s="71"/>
    </row>
    <row r="16" spans="1:8" ht="24" customHeight="1">
      <c r="A16" s="60" t="s">
        <v>289</v>
      </c>
      <c r="B16" s="61"/>
      <c r="C16" s="72" t="s">
        <v>38</v>
      </c>
      <c r="D16" s="61"/>
      <c r="E16" s="61" t="s">
        <v>290</v>
      </c>
      <c r="F16" s="61"/>
      <c r="G16" s="73"/>
      <c r="H16" s="39" t="s">
        <v>291</v>
      </c>
    </row>
    <row r="17" spans="1:8" ht="33.950000000000003" customHeight="1">
      <c r="A17" s="60" t="s">
        <v>292</v>
      </c>
      <c r="B17" s="61"/>
      <c r="C17" s="62">
        <f>SUM(F5:F13)</f>
        <v>0</v>
      </c>
      <c r="D17" s="63"/>
      <c r="E17" s="64"/>
      <c r="F17" s="64"/>
      <c r="G17" s="65"/>
      <c r="H17" s="40" t="s">
        <v>293</v>
      </c>
    </row>
    <row r="18" spans="1:8" ht="33.950000000000003" customHeight="1">
      <c r="A18" s="60" t="s">
        <v>294</v>
      </c>
      <c r="B18" s="61"/>
      <c r="C18" s="63">
        <f>IFERROR(C17/(3*SUM(E5:E13))*100,0)</f>
        <v>0</v>
      </c>
      <c r="D18" s="63"/>
      <c r="E18" s="64"/>
      <c r="F18" s="64"/>
      <c r="G18" s="65"/>
      <c r="H18" s="40" t="s">
        <v>295</v>
      </c>
    </row>
    <row r="19" spans="1:8" ht="33.950000000000003" customHeight="1">
      <c r="A19" s="60" t="s">
        <v>207</v>
      </c>
      <c r="B19" s="61"/>
      <c r="C19" s="66" t="str">
        <f>IF(C18&lt;25,"低 / Low",IF(C18&lt;50,"中 / Medium",IF(C18&lt;75,"高 / High","极高 / Very High")))</f>
        <v>低 / Low</v>
      </c>
      <c r="D19" s="66"/>
      <c r="E19" s="64"/>
      <c r="F19" s="64"/>
      <c r="G19" s="65"/>
      <c r="H19" s="40" t="s">
        <v>296</v>
      </c>
    </row>
    <row r="21" spans="1:8" ht="21.95" customHeight="1"/>
    <row r="22" spans="1:8" ht="24" customHeight="1"/>
    <row r="23" spans="1:8" ht="32.1" customHeight="1"/>
    <row r="24" spans="1:8" ht="32.1" customHeight="1"/>
    <row r="25" spans="1:8" ht="32.1" customHeight="1"/>
  </sheetData>
  <mergeCells count="13">
    <mergeCell ref="A1:H1"/>
    <mergeCell ref="A2:H2"/>
    <mergeCell ref="A15:H15"/>
    <mergeCell ref="A16:B16"/>
    <mergeCell ref="C16:D16"/>
    <mergeCell ref="E16:G16"/>
    <mergeCell ref="A17:B17"/>
    <mergeCell ref="C17:D17"/>
    <mergeCell ref="E17:G19"/>
    <mergeCell ref="A18:B18"/>
    <mergeCell ref="C18:D18"/>
    <mergeCell ref="A19:B19"/>
    <mergeCell ref="C19:D19"/>
  </mergeCells>
  <conditionalFormatting sqref="C18">
    <cfRule type="containsText" dxfId="6" priority="1" operator="containsText" text="低"/>
    <cfRule type="containsText" dxfId="5" priority="2" operator="containsText" text="中"/>
    <cfRule type="containsText" dxfId="4" priority="3" operator="containsText" text="高"/>
  </conditionalFormatting>
  <dataValidations count="1">
    <dataValidation type="list" sqref="D5:D13">
      <formula1>"0,1,2,3"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showGridLines="0" topLeftCell="A10" workbookViewId="0">
      <selection activeCell="I15" sqref="I15"/>
    </sheetView>
  </sheetViews>
  <sheetFormatPr defaultRowHeight="14.25"/>
  <cols>
    <col min="1" max="1" width="23" customWidth="1"/>
    <col min="2" max="2" width="22" customWidth="1"/>
    <col min="3" max="3" width="18" customWidth="1"/>
    <col min="4" max="4" width="24" customWidth="1"/>
    <col min="5" max="5" width="22" customWidth="1"/>
    <col min="6" max="8" width="18" customWidth="1"/>
    <col min="9" max="9" width="34" customWidth="1"/>
  </cols>
  <sheetData>
    <row r="1" spans="1:9" ht="33.950000000000003" customHeight="1">
      <c r="A1" s="67" t="s">
        <v>298</v>
      </c>
      <c r="B1" s="67"/>
      <c r="C1" s="67"/>
      <c r="D1" s="67"/>
      <c r="E1" s="67"/>
      <c r="F1" s="67"/>
      <c r="G1" s="67"/>
      <c r="H1" s="67"/>
      <c r="I1" s="57"/>
    </row>
    <row r="2" spans="1:9">
      <c r="A2" s="1"/>
      <c r="B2" s="1"/>
      <c r="C2" s="1"/>
      <c r="D2" s="1"/>
      <c r="E2" s="1"/>
      <c r="F2" s="1"/>
      <c r="G2" s="1"/>
      <c r="H2" s="1"/>
    </row>
    <row r="3" spans="1:9" ht="15">
      <c r="A3" s="78" t="s">
        <v>299</v>
      </c>
      <c r="B3" s="78"/>
      <c r="C3" s="78"/>
      <c r="D3" s="78"/>
      <c r="E3" s="78"/>
      <c r="F3" s="78"/>
      <c r="G3" s="78"/>
      <c r="H3" s="78"/>
      <c r="I3" s="79"/>
    </row>
    <row r="4" spans="1:9" ht="15">
      <c r="A4" s="24" t="s">
        <v>34</v>
      </c>
      <c r="B4" s="24" t="s">
        <v>188</v>
      </c>
      <c r="C4" s="24" t="s">
        <v>38</v>
      </c>
      <c r="D4" s="24" t="s">
        <v>189</v>
      </c>
      <c r="E4" s="24" t="s">
        <v>190</v>
      </c>
      <c r="F4" s="24"/>
      <c r="G4" s="24"/>
      <c r="H4" s="24"/>
      <c r="I4" s="25" t="s">
        <v>41</v>
      </c>
    </row>
    <row r="5" spans="1:9" ht="75.75" customHeight="1">
      <c r="A5" s="10" t="s">
        <v>191</v>
      </c>
      <c r="B5" s="11" t="s">
        <v>192</v>
      </c>
      <c r="C5" s="4" t="s">
        <v>46</v>
      </c>
      <c r="D5" s="4"/>
      <c r="E5" s="74" t="s">
        <v>300</v>
      </c>
      <c r="F5" s="74"/>
      <c r="G5" s="74"/>
      <c r="H5" s="75"/>
      <c r="I5" s="26" t="s">
        <v>193</v>
      </c>
    </row>
    <row r="6" spans="1:9" ht="81" customHeight="1">
      <c r="A6" s="12" t="s">
        <v>194</v>
      </c>
      <c r="B6" s="13" t="s">
        <v>195</v>
      </c>
      <c r="C6" s="5" t="s">
        <v>46</v>
      </c>
      <c r="D6" s="5"/>
      <c r="E6" s="76" t="s">
        <v>301</v>
      </c>
      <c r="F6" s="76"/>
      <c r="G6" s="76"/>
      <c r="H6" s="77"/>
      <c r="I6" s="26" t="s">
        <v>196</v>
      </c>
    </row>
    <row r="7" spans="1:9" ht="76.5" customHeight="1">
      <c r="A7" s="12" t="s">
        <v>197</v>
      </c>
      <c r="B7" s="13" t="s">
        <v>198</v>
      </c>
      <c r="C7" s="5" t="s">
        <v>46</v>
      </c>
      <c r="D7" s="5"/>
      <c r="E7" s="76" t="s">
        <v>297</v>
      </c>
      <c r="F7" s="76"/>
      <c r="G7" s="76"/>
      <c r="H7" s="77"/>
      <c r="I7" s="26" t="s">
        <v>199</v>
      </c>
    </row>
    <row r="8" spans="1:9" ht="78.75" customHeight="1">
      <c r="A8" s="14" t="s">
        <v>200</v>
      </c>
      <c r="B8" s="15" t="s">
        <v>201</v>
      </c>
      <c r="C8" s="6" t="s">
        <v>46</v>
      </c>
      <c r="D8" s="6"/>
      <c r="E8" s="80" t="s">
        <v>302</v>
      </c>
      <c r="F8" s="80"/>
      <c r="G8" s="80"/>
      <c r="H8" s="81"/>
      <c r="I8" s="26" t="s">
        <v>202</v>
      </c>
    </row>
    <row r="9" spans="1:9" ht="99" customHeight="1">
      <c r="A9" s="27" t="s">
        <v>203</v>
      </c>
      <c r="B9" s="27" t="s">
        <v>204</v>
      </c>
      <c r="C9" s="29" t="s">
        <v>46</v>
      </c>
      <c r="D9" s="29"/>
      <c r="E9" s="82" t="s">
        <v>302</v>
      </c>
      <c r="F9" s="83"/>
      <c r="G9" s="83"/>
      <c r="H9" s="84"/>
      <c r="I9" s="26" t="s">
        <v>205</v>
      </c>
    </row>
    <row r="10" spans="1:9" ht="15">
      <c r="A10" s="43" t="s">
        <v>206</v>
      </c>
      <c r="B10" s="43"/>
      <c r="C10" s="43"/>
      <c r="D10" s="43"/>
      <c r="E10" s="43"/>
      <c r="F10" s="43"/>
      <c r="G10" s="43"/>
      <c r="H10" s="43"/>
      <c r="I10" s="30"/>
    </row>
    <row r="11" spans="1:9" ht="30">
      <c r="A11" s="2" t="s">
        <v>207</v>
      </c>
      <c r="B11" s="3" t="str">
        <f>'风险评估Risk Assessment'!C19</f>
        <v>低 / Low</v>
      </c>
      <c r="C11" s="2" t="s">
        <v>303</v>
      </c>
      <c r="D11" s="3" t="str">
        <f>IF(COUNTIF(C5:C9,"是 / Yes")&gt;0,"已触发 / Triggered",IF(COUNTIF(C5:C9,"待确认 / TBD")&gt;0,"待确认 / TBD","未触发 / Clear"))</f>
        <v>待确认 / TBD</v>
      </c>
      <c r="E11" s="2" t="s">
        <v>208</v>
      </c>
      <c r="F11" s="3" t="str">
        <f>IF(D11&lt;&gt;"未触发 / Clear","专项复核 / Special review",IF(OR(B11="高 / High",B11="极高 / Very High"),"升级审批 / Escalate",IF(B11="中 / Medium","补充控制 / Add controls","标准审批 / Standard")))</f>
        <v>专项复核 / Special review</v>
      </c>
      <c r="G11" s="2" t="s">
        <v>209</v>
      </c>
      <c r="H11" s="3"/>
      <c r="I11" s="30"/>
    </row>
    <row r="12" spans="1:9" ht="39.950000000000003" customHeight="1">
      <c r="A12" s="2" t="s">
        <v>210</v>
      </c>
      <c r="B12" s="44"/>
      <c r="C12" s="45"/>
      <c r="D12" s="44"/>
      <c r="E12" s="45"/>
      <c r="F12" s="44"/>
      <c r="G12" s="45"/>
      <c r="H12" s="44"/>
      <c r="I12" s="30"/>
    </row>
    <row r="13" spans="1:9" ht="30">
      <c r="A13" s="2" t="s">
        <v>211</v>
      </c>
      <c r="B13" s="3"/>
      <c r="C13" s="2" t="s">
        <v>212</v>
      </c>
      <c r="D13" s="3"/>
      <c r="E13" s="2" t="s">
        <v>213</v>
      </c>
      <c r="F13" s="19"/>
      <c r="G13" s="2" t="s">
        <v>214</v>
      </c>
      <c r="H13" s="3"/>
      <c r="I13" s="30"/>
    </row>
    <row r="14" spans="1:9" ht="30">
      <c r="A14" s="2" t="s">
        <v>215</v>
      </c>
      <c r="B14" s="3"/>
      <c r="C14" s="2" t="s">
        <v>212</v>
      </c>
      <c r="D14" s="3"/>
      <c r="E14" s="2" t="s">
        <v>213</v>
      </c>
      <c r="F14" s="19"/>
      <c r="G14" s="2" t="s">
        <v>214</v>
      </c>
      <c r="H14" s="3"/>
      <c r="I14" s="30"/>
    </row>
    <row r="15" spans="1:9" ht="15">
      <c r="A15" s="2" t="s">
        <v>305</v>
      </c>
      <c r="B15" s="3"/>
      <c r="C15" s="2" t="s">
        <v>212</v>
      </c>
      <c r="D15" s="3"/>
      <c r="E15" s="2" t="s">
        <v>213</v>
      </c>
      <c r="F15" s="19"/>
      <c r="G15" s="2" t="s">
        <v>214</v>
      </c>
      <c r="H15" s="3"/>
      <c r="I15" s="30"/>
    </row>
    <row r="16" spans="1:9" ht="15">
      <c r="A16" s="42" t="s">
        <v>304</v>
      </c>
      <c r="B16" s="41"/>
      <c r="C16" s="42" t="s">
        <v>212</v>
      </c>
      <c r="D16" s="41"/>
      <c r="E16" s="42" t="s">
        <v>213</v>
      </c>
      <c r="F16" s="19"/>
      <c r="G16" s="42" t="s">
        <v>214</v>
      </c>
      <c r="H16" s="41"/>
      <c r="I16" s="30"/>
    </row>
    <row r="17" spans="1:9" ht="30">
      <c r="A17" s="2" t="s">
        <v>216</v>
      </c>
      <c r="B17" s="3"/>
      <c r="C17" s="2" t="s">
        <v>212</v>
      </c>
      <c r="D17" s="3"/>
      <c r="E17" s="2" t="s">
        <v>213</v>
      </c>
      <c r="F17" s="19"/>
      <c r="G17" s="2" t="s">
        <v>214</v>
      </c>
      <c r="H17" s="3"/>
      <c r="I17" s="30"/>
    </row>
    <row r="18" spans="1:9">
      <c r="A18" s="1"/>
      <c r="B18" s="1"/>
      <c r="C18" s="1"/>
      <c r="D18" s="1"/>
      <c r="E18" s="1"/>
      <c r="F18" s="1"/>
      <c r="G18" s="1"/>
      <c r="H18" s="1"/>
      <c r="I18" s="30"/>
    </row>
    <row r="19" spans="1:9" ht="15">
      <c r="A19" s="43" t="s">
        <v>217</v>
      </c>
      <c r="B19" s="43"/>
      <c r="C19" s="43"/>
      <c r="D19" s="43"/>
      <c r="E19" s="43"/>
      <c r="F19" s="43"/>
      <c r="G19" s="43"/>
      <c r="H19" s="43"/>
      <c r="I19" s="30"/>
    </row>
    <row r="20" spans="1:9" ht="15">
      <c r="A20" s="2" t="s">
        <v>218</v>
      </c>
      <c r="B20" s="3"/>
      <c r="C20" s="2" t="s">
        <v>219</v>
      </c>
      <c r="D20" s="19"/>
      <c r="E20" s="20" t="s">
        <v>220</v>
      </c>
      <c r="F20" s="19"/>
      <c r="G20" s="2" t="s">
        <v>221</v>
      </c>
      <c r="H20" s="3"/>
      <c r="I20" s="30"/>
    </row>
    <row r="21" spans="1:9" ht="30">
      <c r="A21" s="2" t="s">
        <v>222</v>
      </c>
      <c r="B21" s="3"/>
      <c r="C21" s="2" t="s">
        <v>223</v>
      </c>
      <c r="D21" s="19"/>
      <c r="E21" s="20" t="s">
        <v>224</v>
      </c>
      <c r="F21" s="19"/>
      <c r="G21" s="2" t="s">
        <v>225</v>
      </c>
      <c r="H21" s="3"/>
      <c r="I21" s="30"/>
    </row>
    <row r="22" spans="1:9" ht="30">
      <c r="A22" s="2" t="s">
        <v>226</v>
      </c>
      <c r="B22" s="3"/>
      <c r="C22" s="2"/>
      <c r="D22" s="3"/>
      <c r="E22" s="2" t="s">
        <v>227</v>
      </c>
      <c r="F22" s="3"/>
      <c r="G22" s="2"/>
      <c r="H22" s="3"/>
      <c r="I22" s="30"/>
    </row>
    <row r="23" spans="1:9">
      <c r="A23" s="1"/>
      <c r="B23" s="1"/>
      <c r="C23" s="1"/>
      <c r="D23" s="1"/>
      <c r="E23" s="1"/>
      <c r="F23" s="1"/>
      <c r="G23" s="1"/>
      <c r="H23" s="1"/>
    </row>
    <row r="24" spans="1:9">
      <c r="A24" s="1"/>
      <c r="B24" s="1"/>
      <c r="C24" s="1"/>
      <c r="D24" s="1"/>
      <c r="E24" s="1"/>
      <c r="F24" s="1"/>
      <c r="G24" s="1"/>
      <c r="H24" s="1"/>
    </row>
  </sheetData>
  <mergeCells count="10">
    <mergeCell ref="A19:H19"/>
    <mergeCell ref="E5:H5"/>
    <mergeCell ref="E6:H6"/>
    <mergeCell ref="E7:H7"/>
    <mergeCell ref="A1:I1"/>
    <mergeCell ref="A3:I3"/>
    <mergeCell ref="E8:H8"/>
    <mergeCell ref="A10:H10"/>
    <mergeCell ref="B12:H12"/>
    <mergeCell ref="E9:H9"/>
  </mergeCells>
  <dataValidations count="4">
    <dataValidation type="list" sqref="C5:C9">
      <formula1>"待确认 / TBD,是 / Yes,否 / No,不适用 / N/A"</formula1>
    </dataValidation>
    <dataValidation type="list" sqref="H11">
      <formula1>"批准 / Approved,有条件批准 / Conditional,退回补充 / Return,拒绝 / Rejected,暂停 / On hold"</formula1>
    </dataValidation>
    <dataValidation type="list" sqref="H13:H17">
      <formula1>"批准 / Approved,有条件批准 / Conditional,退回补充 / Return,拒绝 / Rejected,不适用 / N/A"</formula1>
    </dataValidation>
    <dataValidation type="list" sqref="H20">
      <formula1>"试点 / Pilot,已批准 / Approved,已上线 / Live,暂停 / Suspended,已停用 / Retired"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Views>
    <sheetView showGridLines="0" workbookViewId="0">
      <selection activeCell="D20" sqref="D20"/>
    </sheetView>
  </sheetViews>
  <sheetFormatPr defaultRowHeight="14.25"/>
  <cols>
    <col min="1" max="1" width="15" customWidth="1"/>
    <col min="2" max="2" width="22" customWidth="1"/>
    <col min="3" max="3" width="20" customWidth="1"/>
    <col min="4" max="4" width="32" customWidth="1"/>
    <col min="5" max="8" width="20" customWidth="1"/>
    <col min="9" max="9" width="22" customWidth="1"/>
    <col min="10" max="11" width="16" customWidth="1"/>
    <col min="12" max="12" width="20" customWidth="1"/>
    <col min="13" max="14" width="15" customWidth="1"/>
    <col min="15" max="15" width="18" customWidth="1"/>
    <col min="16" max="16" width="28" customWidth="1"/>
    <col min="17" max="17" width="24" customWidth="1"/>
    <col min="18" max="21" width="19" customWidth="1"/>
  </cols>
  <sheetData>
    <row r="1" spans="1:21" ht="33.950000000000003" customHeight="1">
      <c r="A1" s="67" t="s">
        <v>228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57"/>
      <c r="S1" s="57"/>
      <c r="T1" s="57"/>
      <c r="U1" s="57"/>
    </row>
    <row r="2" spans="1:21">
      <c r="A2" s="68" t="s">
        <v>229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58"/>
      <c r="S2" s="58"/>
      <c r="T2" s="58"/>
      <c r="U2" s="58"/>
    </row>
    <row r="3" spans="1:2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21" ht="45" customHeight="1">
      <c r="A4" s="7" t="s">
        <v>230</v>
      </c>
      <c r="B4" s="8" t="s">
        <v>231</v>
      </c>
      <c r="C4" s="8" t="s">
        <v>232</v>
      </c>
      <c r="D4" s="8" t="s">
        <v>233</v>
      </c>
      <c r="E4" s="8" t="s">
        <v>234</v>
      </c>
      <c r="F4" s="8" t="s">
        <v>235</v>
      </c>
      <c r="G4" s="8" t="s">
        <v>236</v>
      </c>
      <c r="H4" s="8" t="s">
        <v>237</v>
      </c>
      <c r="I4" s="8" t="s">
        <v>238</v>
      </c>
      <c r="J4" s="8" t="s">
        <v>239</v>
      </c>
      <c r="K4" s="8" t="s">
        <v>240</v>
      </c>
      <c r="L4" s="8" t="s">
        <v>241</v>
      </c>
      <c r="M4" s="8" t="s">
        <v>242</v>
      </c>
      <c r="N4" s="8" t="s">
        <v>243</v>
      </c>
      <c r="O4" s="8" t="s">
        <v>244</v>
      </c>
      <c r="P4" s="8" t="s">
        <v>245</v>
      </c>
      <c r="Q4" s="9" t="s">
        <v>246</v>
      </c>
      <c r="R4" s="25" t="s">
        <v>247</v>
      </c>
      <c r="S4" s="25" t="s">
        <v>248</v>
      </c>
      <c r="T4" s="25" t="s">
        <v>249</v>
      </c>
      <c r="U4" s="25" t="s">
        <v>250</v>
      </c>
    </row>
    <row r="5" spans="1:21" ht="30" customHeight="1">
      <c r="A5" s="10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21"/>
      <c r="N5" s="21"/>
      <c r="O5" s="11"/>
      <c r="P5" s="11"/>
      <c r="Q5" s="16"/>
      <c r="R5" s="31"/>
      <c r="S5" s="31"/>
      <c r="T5" s="31"/>
      <c r="U5" s="31"/>
    </row>
    <row r="6" spans="1:21" ht="30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22"/>
      <c r="N6" s="22"/>
      <c r="O6" s="13"/>
      <c r="P6" s="13"/>
      <c r="Q6" s="17"/>
      <c r="R6" s="31"/>
      <c r="S6" s="31"/>
      <c r="T6" s="31"/>
      <c r="U6" s="31"/>
    </row>
    <row r="7" spans="1:21" ht="30" customHeight="1">
      <c r="A7" s="12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22"/>
      <c r="N7" s="22"/>
      <c r="O7" s="13"/>
      <c r="P7" s="13"/>
      <c r="Q7" s="17"/>
      <c r="R7" s="31"/>
      <c r="S7" s="31"/>
      <c r="T7" s="31"/>
      <c r="U7" s="31"/>
    </row>
    <row r="8" spans="1:21" ht="30" customHeight="1">
      <c r="A8" s="12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22"/>
      <c r="N8" s="22"/>
      <c r="O8" s="13"/>
      <c r="P8" s="13"/>
      <c r="Q8" s="17"/>
      <c r="R8" s="31"/>
      <c r="S8" s="31"/>
      <c r="T8" s="31"/>
      <c r="U8" s="31"/>
    </row>
    <row r="9" spans="1:21" ht="30" customHeight="1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22"/>
      <c r="N9" s="22"/>
      <c r="O9" s="13"/>
      <c r="P9" s="13"/>
      <c r="Q9" s="17"/>
      <c r="R9" s="31"/>
      <c r="S9" s="31"/>
      <c r="T9" s="31"/>
      <c r="U9" s="31"/>
    </row>
    <row r="10" spans="1:21" ht="30" customHeight="1">
      <c r="A10" s="1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22"/>
      <c r="N10" s="22"/>
      <c r="O10" s="13"/>
      <c r="P10" s="13"/>
      <c r="Q10" s="17"/>
      <c r="R10" s="31"/>
      <c r="S10" s="31"/>
      <c r="T10" s="31"/>
      <c r="U10" s="31"/>
    </row>
    <row r="11" spans="1:21" ht="30" customHeight="1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22"/>
      <c r="N11" s="22"/>
      <c r="O11" s="13"/>
      <c r="P11" s="13"/>
      <c r="Q11" s="17"/>
      <c r="R11" s="31"/>
      <c r="S11" s="31"/>
      <c r="T11" s="31"/>
      <c r="U11" s="31"/>
    </row>
    <row r="12" spans="1:21" ht="30" customHeight="1">
      <c r="A12" s="12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22"/>
      <c r="N12" s="22"/>
      <c r="O12" s="13"/>
      <c r="P12" s="13"/>
      <c r="Q12" s="17"/>
      <c r="R12" s="31"/>
      <c r="S12" s="31"/>
      <c r="T12" s="31"/>
      <c r="U12" s="31"/>
    </row>
    <row r="13" spans="1:21" ht="30" customHeight="1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22"/>
      <c r="N13" s="22"/>
      <c r="O13" s="13"/>
      <c r="P13" s="13"/>
      <c r="Q13" s="17"/>
      <c r="R13" s="31"/>
      <c r="S13" s="31"/>
      <c r="T13" s="31"/>
      <c r="U13" s="31"/>
    </row>
    <row r="14" spans="1:21" ht="30" customHeight="1">
      <c r="A14" s="12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22"/>
      <c r="N14" s="22"/>
      <c r="O14" s="13"/>
      <c r="P14" s="13"/>
      <c r="Q14" s="17"/>
      <c r="R14" s="31"/>
      <c r="S14" s="31"/>
      <c r="T14" s="31"/>
      <c r="U14" s="31"/>
    </row>
    <row r="15" spans="1:21" ht="30" customHeight="1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22"/>
      <c r="N15" s="22"/>
      <c r="O15" s="13"/>
      <c r="P15" s="13"/>
      <c r="Q15" s="17"/>
      <c r="R15" s="31"/>
      <c r="S15" s="31"/>
      <c r="T15" s="31"/>
      <c r="U15" s="31"/>
    </row>
    <row r="16" spans="1:21" ht="30" customHeight="1">
      <c r="A16" s="12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22"/>
      <c r="N16" s="22"/>
      <c r="O16" s="13"/>
      <c r="P16" s="13"/>
      <c r="Q16" s="17"/>
      <c r="R16" s="31"/>
      <c r="S16" s="31"/>
      <c r="T16" s="31"/>
      <c r="U16" s="31"/>
    </row>
    <row r="17" spans="1:21" ht="30" customHeight="1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22"/>
      <c r="N17" s="22"/>
      <c r="O17" s="13"/>
      <c r="P17" s="13"/>
      <c r="Q17" s="17"/>
      <c r="R17" s="31"/>
      <c r="S17" s="31"/>
      <c r="T17" s="31"/>
      <c r="U17" s="31"/>
    </row>
    <row r="18" spans="1:21" ht="30" customHeight="1">
      <c r="A18" s="12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22"/>
      <c r="N18" s="22"/>
      <c r="O18" s="13"/>
      <c r="P18" s="13"/>
      <c r="Q18" s="17"/>
      <c r="R18" s="31"/>
      <c r="S18" s="31"/>
      <c r="T18" s="31"/>
      <c r="U18" s="31"/>
    </row>
    <row r="19" spans="1:21" ht="30" customHeight="1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22"/>
      <c r="N19" s="22"/>
      <c r="O19" s="13"/>
      <c r="P19" s="13"/>
      <c r="Q19" s="17"/>
      <c r="R19" s="31"/>
      <c r="S19" s="31"/>
      <c r="T19" s="31"/>
      <c r="U19" s="31"/>
    </row>
    <row r="20" spans="1:21" ht="30" customHeight="1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22"/>
      <c r="N20" s="22"/>
      <c r="O20" s="13"/>
      <c r="P20" s="13"/>
      <c r="Q20" s="17"/>
      <c r="R20" s="31"/>
      <c r="S20" s="31"/>
      <c r="T20" s="31"/>
      <c r="U20" s="31"/>
    </row>
    <row r="21" spans="1:21" ht="30" customHeight="1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22"/>
      <c r="N21" s="22"/>
      <c r="O21" s="13"/>
      <c r="P21" s="13"/>
      <c r="Q21" s="17"/>
      <c r="R21" s="31"/>
      <c r="S21" s="31"/>
      <c r="T21" s="31"/>
      <c r="U21" s="31"/>
    </row>
    <row r="22" spans="1:21" ht="30" customHeight="1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22"/>
      <c r="N22" s="22"/>
      <c r="O22" s="13"/>
      <c r="P22" s="13"/>
      <c r="Q22" s="17"/>
      <c r="R22" s="31"/>
      <c r="S22" s="31"/>
      <c r="T22" s="31"/>
      <c r="U22" s="31"/>
    </row>
    <row r="23" spans="1:21" ht="30" customHeight="1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22"/>
      <c r="N23" s="22"/>
      <c r="O23" s="13"/>
      <c r="P23" s="13"/>
      <c r="Q23" s="17"/>
      <c r="R23" s="31"/>
      <c r="S23" s="31"/>
      <c r="T23" s="31"/>
      <c r="U23" s="31"/>
    </row>
    <row r="24" spans="1:21" ht="30" customHeight="1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22"/>
      <c r="N24" s="22"/>
      <c r="O24" s="13"/>
      <c r="P24" s="13"/>
      <c r="Q24" s="17"/>
      <c r="R24" s="31"/>
      <c r="S24" s="31"/>
      <c r="T24" s="31"/>
      <c r="U24" s="31"/>
    </row>
    <row r="25" spans="1:21" ht="30" customHeight="1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22"/>
      <c r="N25" s="22"/>
      <c r="O25" s="13"/>
      <c r="P25" s="13"/>
      <c r="Q25" s="17"/>
      <c r="R25" s="31"/>
      <c r="S25" s="31"/>
      <c r="T25" s="31"/>
      <c r="U25" s="31"/>
    </row>
    <row r="26" spans="1:21" ht="30" customHeight="1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22"/>
      <c r="N26" s="22"/>
      <c r="O26" s="13"/>
      <c r="P26" s="13"/>
      <c r="Q26" s="17"/>
      <c r="R26" s="31"/>
      <c r="S26" s="31"/>
      <c r="T26" s="31"/>
      <c r="U26" s="31"/>
    </row>
    <row r="27" spans="1:21" ht="30" customHeight="1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22"/>
      <c r="N27" s="22"/>
      <c r="O27" s="13"/>
      <c r="P27" s="13"/>
      <c r="Q27" s="17"/>
      <c r="R27" s="31"/>
      <c r="S27" s="31"/>
      <c r="T27" s="31"/>
      <c r="U27" s="31"/>
    </row>
    <row r="28" spans="1:21" ht="30" customHeight="1">
      <c r="A28" s="12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22"/>
      <c r="N28" s="22"/>
      <c r="O28" s="13"/>
      <c r="P28" s="13"/>
      <c r="Q28" s="17"/>
      <c r="R28" s="31"/>
      <c r="S28" s="31"/>
      <c r="T28" s="31"/>
      <c r="U28" s="31"/>
    </row>
    <row r="29" spans="1:21" ht="30" customHeight="1">
      <c r="A29" s="1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22"/>
      <c r="N29" s="22"/>
      <c r="O29" s="13"/>
      <c r="P29" s="13"/>
      <c r="Q29" s="17"/>
      <c r="R29" s="31"/>
      <c r="S29" s="31"/>
      <c r="T29" s="31"/>
      <c r="U29" s="31"/>
    </row>
    <row r="30" spans="1:21" ht="30" customHeight="1">
      <c r="A30" s="12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22"/>
      <c r="N30" s="22"/>
      <c r="O30" s="13"/>
      <c r="P30" s="13"/>
      <c r="Q30" s="17"/>
      <c r="R30" s="31"/>
      <c r="S30" s="31"/>
      <c r="T30" s="31"/>
      <c r="U30" s="31"/>
    </row>
    <row r="31" spans="1:21" ht="30" customHeight="1">
      <c r="A31" s="12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22"/>
      <c r="N31" s="22"/>
      <c r="O31" s="13"/>
      <c r="P31" s="13"/>
      <c r="Q31" s="17"/>
      <c r="R31" s="31"/>
      <c r="S31" s="31"/>
      <c r="T31" s="31"/>
      <c r="U31" s="31"/>
    </row>
    <row r="32" spans="1:21" ht="30" customHeight="1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22"/>
      <c r="N32" s="22"/>
      <c r="O32" s="13"/>
      <c r="P32" s="13"/>
      <c r="Q32" s="17"/>
      <c r="R32" s="31"/>
      <c r="S32" s="31"/>
      <c r="T32" s="31"/>
      <c r="U32" s="31"/>
    </row>
    <row r="33" spans="1:21" ht="30" customHeight="1">
      <c r="A33" s="12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22"/>
      <c r="N33" s="22"/>
      <c r="O33" s="13"/>
      <c r="P33" s="13"/>
      <c r="Q33" s="17"/>
      <c r="R33" s="31"/>
      <c r="S33" s="31"/>
      <c r="T33" s="31"/>
      <c r="U33" s="31"/>
    </row>
    <row r="34" spans="1:21" ht="30" customHeight="1">
      <c r="A34" s="14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23"/>
      <c r="N34" s="23"/>
      <c r="O34" s="15"/>
      <c r="P34" s="15"/>
      <c r="Q34" s="18"/>
      <c r="R34" s="31"/>
      <c r="S34" s="31"/>
      <c r="T34" s="31"/>
      <c r="U34" s="31"/>
    </row>
  </sheetData>
  <mergeCells count="2">
    <mergeCell ref="A1:U1"/>
    <mergeCell ref="A2:U2"/>
  </mergeCells>
  <conditionalFormatting sqref="K5:K34">
    <cfRule type="containsText" dxfId="3" priority="1" operator="containsText" text="Low"/>
    <cfRule type="containsText" dxfId="2" priority="2" operator="containsText" text="Medium"/>
    <cfRule type="containsText" dxfId="1" priority="3" operator="containsText" text="High"/>
  </conditionalFormatting>
  <conditionalFormatting sqref="N5:N34">
    <cfRule type="cellIs" dxfId="0" priority="4" operator="lessThan">
      <formula>TODAY()</formula>
    </cfRule>
  </conditionalFormatting>
  <dataValidations count="9">
    <dataValidation type="list" sqref="H5:H34">
      <formula1>"SaaS / Cloud,本地部署 / On-premises,私有云 / Private cloud,插件/API / Plugin/API,嵌入系统 / Embedded,其他 / Other"</formula1>
    </dataValidation>
    <dataValidation type="list" sqref="I5:I34">
      <formula1>"公开 / Public,内部 / Internal,机密 / Confidential,严格机密/受限 / Restricted"</formula1>
    </dataValidation>
    <dataValidation type="list" sqref="J5:J34 T5:T34">
      <formula1>"是 / Yes,否 / No,待确认 / TBD"</formula1>
    </dataValidation>
    <dataValidation type="list" sqref="K5:K34">
      <formula1>"低 / Low,中 / Medium,高 / High,极高 / Very High"</formula1>
    </dataValidation>
    <dataValidation type="list" sqref="L5:L34">
      <formula1>"待审批 / Pending,批准 / Approved,有条件批准 / Conditional,拒绝 / Rejected,暂停 / On hold"</formula1>
    </dataValidation>
    <dataValidation type="list" sqref="O5:O34">
      <formula1>"申请中 / Requested,试点 / Pilot,已上线 / Live,暂停 / Suspended,已停用 / Retired"</formula1>
    </dataValidation>
    <dataValidation type="list" sqref="R5:R34">
      <formula1>"Provider,Deployer,Provider &amp; Deployer,Importer,Distributor,待确认 / TBD"</formula1>
    </dataValidation>
    <dataValidation type="list" sqref="S5:S34">
      <formula1>"禁止 / Prohibited,高风险 / High-risk,透明度风险 / Transparency,有限/最低风险 / Limited/Minimal,待确认 / TBD"</formula1>
    </dataValidation>
    <dataValidation type="list" sqref="U5:U34">
      <formula1>"符合 / Compliant,部分符合 / Partial,不符合 / Non-compliant,不适用 / N/A,待确认 / TBD"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申请表Application form</vt:lpstr>
      <vt:lpstr>技术控制清单IT Control CheckList</vt:lpstr>
      <vt:lpstr>风险评估Risk Assessment</vt:lpstr>
      <vt:lpstr>审批Approval Form</vt:lpstr>
      <vt:lpstr>AI工具台账AI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Da</dc:creator>
  <cp:lastModifiedBy>LI Da</cp:lastModifiedBy>
  <dcterms:created xsi:type="dcterms:W3CDTF">2026-08-31T12:49:42Z</dcterms:created>
  <dcterms:modified xsi:type="dcterms:W3CDTF">2026-08-31T12:49:42Z</dcterms:modified>
</cp:coreProperties>
</file>